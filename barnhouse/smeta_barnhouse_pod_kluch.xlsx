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  <sheet name="Сводка" sheetId="2" state="visible" r:id="rId2"/>
    <sheet name="Исходные" sheetId="3" state="visible" r:id="rId3"/>
    <sheet name="Комнаты" sheetId="4" state="visible" r:id="rId4"/>
    <sheet name="Полы" sheetId="5" state="visible" r:id="rId5"/>
    <sheet name="Стены" sheetId="6" state="visible" r:id="rId6"/>
    <sheet name="Потолки" sheetId="7" state="visible" r:id="rId7"/>
    <sheet name="Окна" sheetId="8" state="visible" r:id="rId8"/>
    <sheet name="Двери" sheetId="9" state="visible" r:id="rId9"/>
    <sheet name="Обшивка" sheetId="10" state="visible" r:id="rId10"/>
    <sheet name="Теплый_пол" sheetId="11" state="visible" r:id="rId11"/>
    <sheet name="С_у" sheetId="12" state="visible" r:id="rId12"/>
    <sheet name="Прочее" sheetId="13" state="visible" r:id="rId13"/>
  </sheets>
  <definedNames>
    <definedName name="_xlnm._FilterDatabase" localSheetId="0" hidden="1">'Смета'!$A$4:$I$106</definedName>
    <definedName name="_xlnm.Print_Titles" localSheetId="0">'Смета'!$1:$4</definedName>
    <definedName name="_xlnm.Print_Titles" localSheetId="1">'Сводка'!$1:$4</definedName>
    <definedName name="_xlnm._FilterDatabase" localSheetId="2" hidden="1">'Исходные'!$A$4:$D$19</definedName>
    <definedName name="_xlnm.Print_Titles" localSheetId="2">'Исходные'!$1:$4</definedName>
    <definedName name="_xlnm.Print_Titles" localSheetId="3">'Комнаты'!$1:$4</definedName>
    <definedName name="_xlnm.Print_Titles" localSheetId="4">'Полы'!$1:$4</definedName>
    <definedName name="_xlnm._FilterDatabase" localSheetId="5" hidden="1">'Стены'!$A$4:$H$18</definedName>
    <definedName name="_xlnm.Print_Titles" localSheetId="5">'Стены'!$1:$4</definedName>
    <definedName name="_xlnm.Print_Titles" localSheetId="6">'Потолки'!$1:$4</definedName>
    <definedName name="_xlnm.Print_Titles" localSheetId="7">'Окна'!$1:$4</definedName>
    <definedName name="_xlnm.Print_Titles" localSheetId="8">'Двери'!$1:$4</definedName>
    <definedName name="_xlnm.Print_Titles" localSheetId="9">'Обшивка'!$1:$4</definedName>
    <definedName name="_xlnm.Print_Titles" localSheetId="10">'Теплый_пол'!$1:$4</definedName>
    <definedName name="_xlnm.Print_Titles" localSheetId="11">'С_у'!$1:$4</definedName>
    <definedName name="_xlnm.Print_Titles" localSheetId="12">'Прочее'!$1:$4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 ₽"/>
    <numFmt numFmtId="167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1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006100"/>
      <sz val="13"/>
    </font>
    <font>
      <name val="Calibri"/>
      <b val="1"/>
      <color rgb="00006100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2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4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6" fillId="6" borderId="1" pivotButton="0" quotePrefix="0" xfId="0"/>
    <xf numFmtId="3" fontId="6" fillId="6" borderId="1" pivotButton="0" quotePrefix="0" xfId="0"/>
    <xf numFmtId="0" fontId="8" fillId="8" borderId="1" pivotButton="0" quotePrefix="0" xfId="0"/>
    <xf numFmtId="166" fontId="8" fillId="8" borderId="1" pivotButton="0" quotePrefix="0" xfId="0"/>
    <xf numFmtId="0" fontId="4" fillId="5" borderId="0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  <xf numFmtId="0" fontId="9" fillId="8" borderId="1" pivotButton="0" quotePrefix="0" xfId="0"/>
    <xf numFmtId="166" fontId="9" fillId="8" borderId="1" pivotButton="0" quotePrefix="0" xfId="0"/>
    <xf numFmtId="167" fontId="9" fillId="8" borderId="1" pivotButton="0" quotePrefix="0" xfId="0"/>
    <xf numFmtId="0" fontId="0" fillId="5" borderId="0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4" borderId="1" applyAlignment="1" pivotButton="0" quotePrefix="0" xfId="0">
      <alignment horizontal="left" vertical="center" wrapText="1"/>
    </xf>
    <xf numFmtId="2" fontId="6" fillId="6" borderId="1" pivotButton="0" quotePrefix="0" xfId="0"/>
    <xf numFmtId="0" fontId="6" fillId="0" borderId="0" pivotButton="0" quotePrefix="0" xfId="0"/>
    <xf numFmtId="2" fontId="0" fillId="0" borderId="0" pivotButton="0" quotePrefix="0" xfId="0"/>
    <xf numFmtId="2" fontId="4" fillId="0" borderId="1" applyAlignment="1" pivotButton="0" quotePrefix="0" xfId="0">
      <alignment horizontal="left" vertical="center" wrapText="1"/>
    </xf>
    <xf numFmtId="2" fontId="4" fillId="3" borderId="1" applyAlignment="1" pivotButton="0" quotePrefix="0" xfId="0">
      <alignment horizontal="left" vertical="center" wrapText="1"/>
    </xf>
    <xf numFmtId="2" fontId="6" fillId="5" borderId="0" pivotButton="0" quotePrefix="0" xfId="0"/>
    <xf numFmtId="0" fontId="6" fillId="5" borderId="1" pivotButton="0" quotePrefix="0" xfId="0"/>
    <xf numFmtId="2" fontId="6" fillId="5" borderId="1" pivotButton="0" quotePrefix="0" xfId="0"/>
    <xf numFmtId="2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1" fontId="4" fillId="4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left" vertical="center" wrapText="1"/>
    </xf>
    <xf numFmtId="9" fontId="4" fillId="3" borderId="1" applyAlignment="1" pivotButton="0" quotePrefix="0" xfId="0">
      <alignment horizontal="left" vertical="center" wrapText="1"/>
    </xf>
    <xf numFmtId="1" fontId="4" fillId="3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left" vertical="center" wrapText="1"/>
    </xf>
    <xf numFmtId="0" fontId="6" fillId="5" borderId="0" pivotButton="0" quotePrefix="0" xfId="0"/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сметы</a:t>
            </a:r>
          </a:p>
        </rich>
      </tx>
    </title>
    <plotArea>
      <pieChart>
        <varyColors val="1"/>
        <ser>
          <idx val="0"/>
          <order val="0"/>
          <tx>
            <strRef>
              <f>'Сводка'!C4</f>
            </strRef>
          </tx>
          <spPr>
            <a:ln>
              <a:prstDash val="solid"/>
            </a:ln>
          </spPr>
          <cat>
            <numRef>
              <f>'Сводка'!$B$5:$B$14</f>
            </numRef>
          </cat>
          <val>
            <numRef>
              <f>'Сводка'!$C$5:$C$14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4" customWidth="1" min="3" max="3"/>
    <col width="12" customWidth="1" min="4" max="4"/>
    <col width="12" customWidth="1" min="5" max="5"/>
    <col width="14" customWidth="1" min="6" max="6"/>
    <col width="28" customWidth="1" min="7" max="7"/>
    <col width="28" customWidth="1" min="8" max="8"/>
    <col width="42" customWidth="1" min="9" max="9"/>
  </cols>
  <sheetData>
    <row r="1" ht="22" customHeight="1">
      <c r="A1" s="1" t="inlineStr">
        <is>
          <t>Смета материалов под ключ — без работ</t>
        </is>
      </c>
    </row>
    <row r="2" ht="32" customHeight="1">
      <c r="A2" s="2" t="inlineStr">
        <is>
          <t>Не входит: окна, двери, утепление и плёнка нар. стен / пола / потолка, каркасы перегородок, вся терраса. Цены ориентир (Петрович СПб / Valtec), сентябрь 2026. Меняйте столбец «Цена» — сумма пересчитается.</t>
        </is>
      </c>
    </row>
    <row r="4" ht="28" customHeight="1">
      <c r="A4" s="3" t="inlineStr">
        <is>
          <t>№</t>
        </is>
      </c>
      <c r="B4" s="3" t="inlineStr">
        <is>
          <t>Раздел / материал</t>
        </is>
      </c>
      <c r="C4" s="3" t="inlineStr">
        <is>
          <t>Ед.</t>
        </is>
      </c>
      <c r="D4" s="3" t="inlineStr">
        <is>
          <t>Кол-во</t>
        </is>
      </c>
      <c r="E4" s="3" t="inlineStr">
        <is>
          <t>Цена, ₽</t>
        </is>
      </c>
      <c r="F4" s="3" t="inlineStr">
        <is>
          <t>Сумма, ₽</t>
        </is>
      </c>
      <c r="G4" s="3" t="inlineStr">
        <is>
          <t>Источник кол-ва</t>
        </is>
      </c>
      <c r="H4" s="3" t="inlineStr">
        <is>
          <t>Артикул / типоразмер</t>
        </is>
      </c>
      <c r="I4" s="3" t="inlineStr">
        <is>
          <t>Примечание</t>
        </is>
      </c>
    </row>
    <row r="5">
      <c r="A5" s="4" t="inlineStr">
        <is>
          <t>1.  Перегородки — вата в каркас; лист только в с/у (каркас уже стоит)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1.1</t>
        </is>
      </c>
      <c r="B6" s="7" t="inlineStr">
        <is>
          <t>Минвата / акустические плиты 100 мм в перегородки</t>
        </is>
      </c>
      <c r="C6" s="6" t="inlineStr">
        <is>
          <t>м²</t>
        </is>
      </c>
      <c r="D6" s="8" t="n">
        <v>50</v>
      </c>
      <c r="E6" s="9" t="n">
        <v>280</v>
      </c>
      <c r="F6" s="10">
        <f>IF(D6="","",D6*E6)</f>
        <v/>
      </c>
      <c r="G6" s="7" t="inlineStr">
        <is>
          <t>перегородки ≈ 44 м² + запас</t>
        </is>
      </c>
      <c r="H6" s="7" t="inlineStr">
        <is>
          <t>плита 600×1200×100</t>
        </is>
      </c>
      <c r="I6" s="7" t="inlineStr">
        <is>
          <t>звук между комнатами; лист с жилой стороны не кладём</t>
        </is>
      </c>
    </row>
    <row r="7">
      <c r="A7" s="11" t="inlineStr">
        <is>
          <t>1.2</t>
        </is>
      </c>
      <c r="B7" s="12" t="inlineStr">
        <is>
          <t>ГВЛВ 12.5 мм в с/у (стены + потолок)</t>
        </is>
      </c>
      <c r="C7" s="11" t="inlineStr">
        <is>
          <t>лист</t>
        </is>
      </c>
      <c r="D7" s="13" t="n">
        <v>8</v>
      </c>
      <c r="E7" s="14" t="n">
        <v>890</v>
      </c>
      <c r="F7" s="15">
        <f>IF(D7="","",D7*E7)</f>
        <v/>
      </c>
      <c r="G7" s="12" t="inlineStr">
        <is>
          <t>вкладка С_у</t>
        </is>
      </c>
      <c r="H7" s="12" t="inlineStr">
        <is>
          <t>1200×2500 влагостойкий</t>
        </is>
      </c>
      <c r="I7" s="12" t="inlineStr">
        <is>
          <t>под плитку и краску потолка; жилые перегородки без ГВЛ</t>
        </is>
      </c>
    </row>
    <row r="8">
      <c r="A8" s="6" t="inlineStr">
        <is>
          <t>1.3</t>
        </is>
      </c>
      <c r="B8" s="7" t="inlineStr">
        <is>
          <t>Саморезы, лента, шпаклёвка швов — только с/у</t>
        </is>
      </c>
      <c r="C8" s="6" t="inlineStr">
        <is>
          <t>компл</t>
        </is>
      </c>
      <c r="D8" s="8" t="n">
        <v>1</v>
      </c>
      <c r="E8" s="9" t="n">
        <v>2200</v>
      </c>
      <c r="F8" s="10">
        <f>IF(D8="","",D8*E8)</f>
        <v/>
      </c>
      <c r="G8" s="7" t="inlineStr">
        <is>
          <t>норма на мокрую зону</t>
        </is>
      </c>
      <c r="H8" s="7" t="inlineStr">
        <is>
          <t>Кнауф / аналог</t>
        </is>
      </c>
      <c r="I8" s="7" t="inlineStr">
        <is>
          <t>не на весь дом: МДФ идёт по обрешётке на стойки</t>
        </is>
      </c>
    </row>
    <row r="9">
      <c r="A9" s="11" t="inlineStr">
        <is>
          <t>1.4</t>
        </is>
      </c>
      <c r="B9" s="12" t="inlineStr">
        <is>
          <t>Лента уплотнительная и демпфер к перегородкам</t>
        </is>
      </c>
      <c r="C9" s="11" t="inlineStr">
        <is>
          <t>м.п.</t>
        </is>
      </c>
      <c r="D9" s="13" t="n">
        <v>40</v>
      </c>
      <c r="E9" s="14" t="n">
        <v>45</v>
      </c>
      <c r="F9" s="15">
        <f>IF(D9="","",D9*E9)</f>
        <v/>
      </c>
      <c r="G9" s="12" t="inlineStr">
        <is>
          <t>периметр примыканий</t>
        </is>
      </c>
      <c r="H9" s="12" t="inlineStr">
        <is>
          <t>поролон / Дихтунгсбанд</t>
        </is>
      </c>
      <c r="I9" s="12" t="inlineStr"/>
    </row>
    <row r="10">
      <c r="A10" s="16" t="n"/>
      <c r="B10" s="16" t="inlineStr">
        <is>
          <t>Итого по разделу</t>
        </is>
      </c>
      <c r="C10" s="16" t="n"/>
      <c r="D10" s="16" t="n"/>
      <c r="E10" s="16" t="n"/>
      <c r="F10" s="17">
        <f>SUM(F6:F9)</f>
        <v/>
      </c>
      <c r="G10" s="16" t="n"/>
      <c r="H10" s="16" t="n"/>
      <c r="I10" s="16" t="n"/>
    </row>
    <row r="12">
      <c r="A12" s="4" t="inlineStr">
        <is>
          <t>2.  Обрешётка и МДФ-панели жилых стен и скатных потолков (с/у и терраса нет)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11" t="inlineStr">
        <is>
          <t>2.1</t>
        </is>
      </c>
      <c r="B13" s="12" t="inlineStr">
        <is>
          <t>Панель МДФ Союз Классик дуб альпийский 2600×238×6</t>
        </is>
      </c>
      <c r="C13" s="11" t="inlineStr">
        <is>
          <t>шт</t>
        </is>
      </c>
      <c r="D13" s="13">
        <f>Обшивка!B9</f>
        <v/>
      </c>
      <c r="E13" s="14" t="n">
        <v>260</v>
      </c>
      <c r="F13" s="15">
        <f>IF(D13="","",D13*E13)</f>
        <v/>
      </c>
      <c r="G13" s="12" t="inlineStr">
        <is>
          <t>вкладка Обшивка</t>
        </is>
      </c>
      <c r="H13" s="12" t="inlineStr">
        <is>
          <t>раб. 0,572 м², уп. 8 шт</t>
        </is>
      </c>
      <c r="I13" s="12" t="inlineStr">
        <is>
          <t>ориентир 260 ₽/шт; Петрович продаёт поштучно, кратно 8</t>
        </is>
      </c>
    </row>
    <row r="14">
      <c r="A14" s="6" t="inlineStr">
        <is>
          <t>2.2</t>
        </is>
      </c>
      <c r="B14" s="7" t="inlineStr">
        <is>
          <t>Брусок 20×40×3000 сухой (обрешётка)</t>
        </is>
      </c>
      <c r="C14" s="6" t="inlineStr">
        <is>
          <t>шт</t>
        </is>
      </c>
      <c r="D14" s="8">
        <f>Обшивка!B12</f>
        <v/>
      </c>
      <c r="E14" s="9" t="n">
        <v>95</v>
      </c>
      <c r="F14" s="10">
        <f>IF(D14="","",D14*E14)</f>
        <v/>
      </c>
      <c r="G14" s="7" t="inlineStr">
        <is>
          <t>вкладка Обшивка</t>
        </is>
      </c>
      <c r="H14" s="7" t="inlineStr">
        <is>
          <t>шаг 400 мм</t>
        </is>
      </c>
      <c r="I14" s="7" t="inlineStr">
        <is>
          <t>по плёнке нар. стен и по листам перегородок</t>
        </is>
      </c>
    </row>
    <row r="15">
      <c r="A15" s="11" t="inlineStr">
        <is>
          <t>2.3</t>
        </is>
      </c>
      <c r="B15" s="12" t="inlineStr">
        <is>
          <t>Кляймер №3 с гвоздями (под 6 мм)</t>
        </is>
      </c>
      <c r="C15" s="11" t="inlineStr">
        <is>
          <t>упак 100 шт</t>
        </is>
      </c>
      <c r="D15" s="13">
        <f>CEILING(Обшивка!B13/100,1)</f>
        <v/>
      </c>
      <c r="E15" s="14" t="n">
        <v>71</v>
      </c>
      <c r="F15" s="15">
        <f>IF(D15="","",D15*E15)</f>
        <v/>
      </c>
      <c r="G15" s="12" t="inlineStr">
        <is>
          <t>≈8 шт на панель</t>
        </is>
      </c>
      <c r="H15" s="12" t="inlineStr">
        <is>
          <t>кляймер под 6 мм</t>
        </is>
      </c>
      <c r="I15" s="12" t="inlineStr"/>
    </row>
    <row r="16">
      <c r="A16" s="6" t="inlineStr">
        <is>
          <t>2.4</t>
        </is>
      </c>
      <c r="B16" s="7" t="inlineStr">
        <is>
          <t>Саморезы 3.5×35 / скобы степлера 6–8 мм</t>
        </is>
      </c>
      <c r="C16" s="6" t="inlineStr">
        <is>
          <t>компл</t>
        </is>
      </c>
      <c r="D16" s="8" t="n">
        <v>1</v>
      </c>
      <c r="E16" s="9" t="n">
        <v>2200</v>
      </c>
      <c r="F16" s="10">
        <f>IF(D16="","",D16*E16)</f>
        <v/>
      </c>
      <c r="G16" s="7" t="inlineStr">
        <is>
          <t>обрешётка + панели</t>
        </is>
      </c>
      <c r="H16" s="7" t="inlineStr"/>
      <c r="I16" s="7" t="inlineStr">
        <is>
          <t>производитель запрещает жидкие гвозди</t>
        </is>
      </c>
    </row>
    <row r="17">
      <c r="A17" s="11" t="inlineStr">
        <is>
          <t>2.5</t>
        </is>
      </c>
      <c r="B17" s="12" t="inlineStr">
        <is>
          <t>Угол МДФ универсальный 2600, дуб альпийский</t>
        </is>
      </c>
      <c r="C17" s="11" t="inlineStr">
        <is>
          <t>шт</t>
        </is>
      </c>
      <c r="D17" s="13" t="n">
        <v>16</v>
      </c>
      <c r="E17" s="14" t="n">
        <v>190</v>
      </c>
      <c r="F17" s="15">
        <f>IF(D17="","",D17*E17)</f>
        <v/>
      </c>
      <c r="G17" s="12" t="inlineStr">
        <is>
          <t>внутренние/наружные углы</t>
        </is>
      </c>
      <c r="H17" s="12" t="inlineStr">
        <is>
          <t>Союз в цвет панелей</t>
        </is>
      </c>
      <c r="I17" s="12" t="inlineStr"/>
    </row>
    <row r="18">
      <c r="A18" s="6" t="inlineStr">
        <is>
          <t>2.6</t>
        </is>
      </c>
      <c r="B18" s="7" t="inlineStr">
        <is>
          <t>Галтель / потолочный плинтус МДФ 2600 в цвет</t>
        </is>
      </c>
      <c r="C18" s="6" t="inlineStr">
        <is>
          <t>шт</t>
        </is>
      </c>
      <c r="D18" s="8" t="n">
        <v>22</v>
      </c>
      <c r="E18" s="9" t="n">
        <v>170</v>
      </c>
      <c r="F18" s="10">
        <f>IF(D18="","",D18*E18)</f>
        <v/>
      </c>
      <c r="G18" s="7" t="inlineStr">
        <is>
          <t>периметр жилых + конёк</t>
        </is>
      </c>
      <c r="H18" s="7" t="inlineStr">
        <is>
          <t>закрывает стык панели 2,60 и стену 2,615</t>
        </is>
      </c>
      <c r="I18" s="7" t="inlineStr"/>
    </row>
    <row r="19">
      <c r="A19" s="11" t="inlineStr">
        <is>
          <t>2.7</t>
        </is>
      </c>
      <c r="B19" s="12" t="inlineStr">
        <is>
          <t>Плинтус напольный МДФ 60–80 мм + уголки, в цвет</t>
        </is>
      </c>
      <c r="C19" s="11" t="inlineStr">
        <is>
          <t>м.п.</t>
        </is>
      </c>
      <c r="D19" s="13">
        <f>Обшивка!B14</f>
        <v/>
      </c>
      <c r="E19" s="14" t="n">
        <v>290</v>
      </c>
      <c r="F19" s="15">
        <f>IF(D19="","",D19*E19)</f>
        <v/>
      </c>
      <c r="G19" s="12" t="inlineStr">
        <is>
          <t>периметр жилых − двери</t>
        </is>
      </c>
      <c r="H19" s="12" t="inlineStr"/>
      <c r="I19" s="12" t="inlineStr">
        <is>
          <t>с/у — плинтус керамический в плитке</t>
        </is>
      </c>
    </row>
    <row r="20">
      <c r="A20" s="6" t="inlineStr">
        <is>
          <t>2.8</t>
        </is>
      </c>
      <c r="B20" s="7" t="inlineStr">
        <is>
          <t>Нащельник у окон/дверей, расходники</t>
        </is>
      </c>
      <c r="C20" s="6" t="inlineStr">
        <is>
          <t>компл</t>
        </is>
      </c>
      <c r="D20" s="8" t="n">
        <v>1</v>
      </c>
      <c r="E20" s="9" t="n">
        <v>3500</v>
      </c>
      <c r="F20" s="10">
        <f>IF(D20="","",D20*E20)</f>
        <v/>
      </c>
      <c r="G20" s="7" t="inlineStr"/>
      <c r="H20" s="7" t="inlineStr"/>
      <c r="I20" s="7" t="inlineStr">
        <is>
          <t>изделия окон и дверей свои, только примыкание</t>
        </is>
      </c>
    </row>
    <row r="21">
      <c r="A21" s="16" t="n"/>
      <c r="B21" s="16" t="inlineStr">
        <is>
          <t>Итого по разделу</t>
        </is>
      </c>
      <c r="C21" s="16" t="n"/>
      <c r="D21" s="16" t="n"/>
      <c r="E21" s="16" t="n"/>
      <c r="F21" s="17">
        <f>SUM(F13:F20)</f>
        <v/>
      </c>
      <c r="G21" s="16" t="n"/>
      <c r="H21" s="16" t="n"/>
      <c r="I21" s="16" t="n"/>
    </row>
    <row r="23">
      <c r="A23" s="4" t="inlineStr">
        <is>
          <t>3.  Тёплый пол сухой по всему дому (пол уже утеплён и под плёнкой)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6" t="inlineStr">
        <is>
          <t>3.1</t>
        </is>
      </c>
      <c r="B24" s="7" t="inlineStr">
        <is>
          <t>Теплораспределительная пластина VALTEC VT.FP.SZ</t>
        </is>
      </c>
      <c r="C24" s="6" t="inlineStr">
        <is>
          <t>шт</t>
        </is>
      </c>
      <c r="D24" s="8">
        <f>Теплый_пол!B12</f>
        <v/>
      </c>
      <c r="E24" s="9" t="n">
        <v>339</v>
      </c>
      <c r="F24" s="10">
        <f>IF(D24="","",D24*E24)</f>
        <v/>
      </c>
      <c r="G24" s="7" t="inlineStr">
        <is>
          <t>вкладка Теплый_пол</t>
        </is>
      </c>
      <c r="H24" s="7" t="inlineStr">
        <is>
          <t>VT.FP.SZ.0125 1000×125</t>
        </is>
      </c>
      <c r="I24" s="7" t="inlineStr">
        <is>
          <t>кратно 40 шт, шаг 125 мм</t>
        </is>
      </c>
    </row>
    <row r="25">
      <c r="A25" s="11" t="inlineStr">
        <is>
          <t>3.2</t>
        </is>
      </c>
      <c r="B25" s="12" t="inlineStr">
        <is>
          <t>Труба PEX-a / PERT 16×2 для ТП</t>
        </is>
      </c>
      <c r="C25" s="11" t="inlineStr">
        <is>
          <t>м</t>
        </is>
      </c>
      <c r="D25" s="13">
        <f>Теплый_пол!B14</f>
        <v/>
      </c>
      <c r="E25" s="14" t="n">
        <v>82</v>
      </c>
      <c r="F25" s="15">
        <f>IF(D25="","",D25*E25)</f>
        <v/>
      </c>
      <c r="G25" s="12" t="inlineStr">
        <is>
          <t>≈8 м/м² + 10%</t>
        </is>
      </c>
      <c r="H25" s="12" t="inlineStr">
        <is>
          <t>бухта 200 м ×2</t>
        </is>
      </c>
      <c r="I25" s="12" t="inlineStr">
        <is>
          <t>5–6 контуров до 80 м</t>
        </is>
      </c>
    </row>
    <row r="26">
      <c r="A26" s="6" t="inlineStr">
        <is>
          <t>3.3</t>
        </is>
      </c>
      <c r="B26" s="7" t="inlineStr">
        <is>
          <t>Коллектор в сборе с расходомерами, 7 выходов</t>
        </is>
      </c>
      <c r="C26" s="6" t="inlineStr">
        <is>
          <t>шт</t>
        </is>
      </c>
      <c r="D26" s="8" t="n">
        <v>1</v>
      </c>
      <c r="E26" s="9" t="n">
        <v>18900</v>
      </c>
      <c r="F26" s="10">
        <f>IF(D26="","",D26*E26)</f>
        <v/>
      </c>
      <c r="G26" s="7" t="inlineStr">
        <is>
          <t>Теплый_пол!B15</t>
        </is>
      </c>
      <c r="H26" s="7" t="inlineStr">
        <is>
          <t>Valtec / Uponor аналог</t>
        </is>
      </c>
      <c r="I26" s="7" t="inlineStr">
        <is>
          <t>по числу контуров</t>
        </is>
      </c>
    </row>
    <row r="27">
      <c r="A27" s="11" t="inlineStr">
        <is>
          <t>3.4</t>
        </is>
      </c>
      <c r="B27" s="12" t="inlineStr">
        <is>
          <t>Шкаф коллекторный встраиваемый</t>
        </is>
      </c>
      <c r="C27" s="11" t="inlineStr">
        <is>
          <t>шт</t>
        </is>
      </c>
      <c r="D27" s="13" t="n">
        <v>1</v>
      </c>
      <c r="E27" s="14" t="n">
        <v>4200</v>
      </c>
      <c r="F27" s="15">
        <f>IF(D27="","",D27*E27)</f>
        <v/>
      </c>
      <c r="G27" s="12" t="inlineStr"/>
      <c r="H27" s="12" t="inlineStr">
        <is>
          <t>600–800 мм</t>
        </is>
      </c>
      <c r="I27" s="12" t="inlineStr">
        <is>
          <t>в холле / кухне</t>
        </is>
      </c>
    </row>
    <row r="28">
      <c r="A28" s="6" t="inlineStr">
        <is>
          <t>3.5</t>
        </is>
      </c>
      <c r="B28" s="7" t="inlineStr">
        <is>
          <t>Насосно-смесительный узел для ТП</t>
        </is>
      </c>
      <c r="C28" s="6" t="inlineStr">
        <is>
          <t>шт</t>
        </is>
      </c>
      <c r="D28" s="8" t="n">
        <v>1</v>
      </c>
      <c r="E28" s="9" t="n">
        <v>18900</v>
      </c>
      <c r="F28" s="10">
        <f>IF(D28="","",D28*E28)</f>
        <v/>
      </c>
      <c r="G28" s="7" t="inlineStr"/>
      <c r="H28" s="7" t="inlineStr">
        <is>
          <t>Valtec Combi / аналог</t>
        </is>
      </c>
      <c r="I28" s="7" t="inlineStr">
        <is>
          <t>если котёл без своей погоды</t>
        </is>
      </c>
    </row>
    <row r="29">
      <c r="A29" s="11" t="inlineStr">
        <is>
          <t>3.6</t>
        </is>
      </c>
      <c r="B29" s="12" t="inlineStr">
        <is>
          <t>Евроконус 16×3/4, соединители, отводы</t>
        </is>
      </c>
      <c r="C29" s="11" t="inlineStr">
        <is>
          <t>компл</t>
        </is>
      </c>
      <c r="D29" s="13" t="n">
        <v>1</v>
      </c>
      <c r="E29" s="14" t="n">
        <v>5200</v>
      </c>
      <c r="F29" s="15">
        <f>IF(D29="","",D29*E29)</f>
        <v/>
      </c>
      <c r="G29" s="12" t="inlineStr">
        <is>
          <t>на 7 петель</t>
        </is>
      </c>
      <c r="H29" s="12" t="inlineStr"/>
      <c r="I29" s="12" t="inlineStr"/>
    </row>
    <row r="30">
      <c r="A30" s="6" t="inlineStr">
        <is>
          <t>3.7</t>
        </is>
      </c>
      <c r="B30" s="7" t="inlineStr">
        <is>
          <t>Демпферная лента 8–10 мм</t>
        </is>
      </c>
      <c r="C30" s="6" t="inlineStr">
        <is>
          <t>м.п.</t>
        </is>
      </c>
      <c r="D30" s="8" t="n">
        <v>50</v>
      </c>
      <c r="E30" s="9" t="n">
        <v>35</v>
      </c>
      <c r="F30" s="10">
        <f>IF(D30="","",D30*E30)</f>
        <v/>
      </c>
      <c r="G30" s="7" t="inlineStr">
        <is>
          <t>периметр комнат</t>
        </is>
      </c>
      <c r="H30" s="7" t="inlineStr"/>
      <c r="I30" s="7" t="inlineStr">
        <is>
          <t>уже есть плёнка пола — лента к стенам</t>
        </is>
      </c>
    </row>
    <row r="31">
      <c r="A31" s="11" t="inlineStr">
        <is>
          <t>3.8</t>
        </is>
      </c>
      <c r="B31" s="12" t="inlineStr">
        <is>
          <t>Скотч алюминиевый / фольгированный</t>
        </is>
      </c>
      <c r="C31" s="11" t="inlineStr">
        <is>
          <t>шт</t>
        </is>
      </c>
      <c r="D31" s="13" t="n">
        <v>4</v>
      </c>
      <c r="E31" s="14" t="n">
        <v>320</v>
      </c>
      <c r="F31" s="15">
        <f>IF(D31="","",D31*E31)</f>
        <v/>
      </c>
      <c r="G31" s="12" t="inlineStr"/>
      <c r="H31" s="12" t="inlineStr">
        <is>
          <t>50 м</t>
        </is>
      </c>
      <c r="I31" s="12" t="inlineStr">
        <is>
          <t>стыки плёнки при монтаже пластин</t>
        </is>
      </c>
    </row>
    <row r="32">
      <c r="A32" s="16" t="n"/>
      <c r="B32" s="16" t="inlineStr">
        <is>
          <t>Итого по разделу</t>
        </is>
      </c>
      <c r="C32" s="16" t="n"/>
      <c r="D32" s="16" t="n"/>
      <c r="E32" s="16" t="n"/>
      <c r="F32" s="17">
        <f>SUM(F24:F31)</f>
        <v/>
      </c>
      <c r="G32" s="16" t="n"/>
      <c r="H32" s="16" t="n"/>
      <c r="I32" s="16" t="n"/>
    </row>
    <row r="34">
      <c r="A34" s="4" t="inlineStr">
        <is>
          <t>4.  Основание пола и финиш (ламинат не на пластины ТП)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11" t="inlineStr">
        <is>
          <t>4.1</t>
        </is>
      </c>
      <c r="B35" s="12" t="inlineStr">
        <is>
          <t>OSB-3 22 мм — черновой настил по лагам</t>
        </is>
      </c>
      <c r="C35" s="11" t="inlineStr">
        <is>
          <t>лист 2500×1250</t>
        </is>
      </c>
      <c r="D35" s="13">
        <f>CEILING(Полы!B10*1.08/3.125,1)</f>
        <v/>
      </c>
      <c r="E35" s="14" t="n">
        <v>2150</v>
      </c>
      <c r="F35" s="15">
        <f>IF(D35="","",D35*E35)</f>
        <v/>
      </c>
      <c r="G35" s="12" t="inlineStr">
        <is>
          <t>весь отапливаемый пол +8%</t>
        </is>
      </c>
      <c r="H35" s="12" t="inlineStr">
        <is>
          <t>3.125 м²/лист</t>
        </is>
      </c>
      <c r="I35" s="12" t="inlineStr">
        <is>
          <t>обнулить, если черновой пол уже есть; плёнка сама по себе не основание</t>
        </is>
      </c>
    </row>
    <row r="36">
      <c r="A36" s="6" t="inlineStr">
        <is>
          <t>4.2</t>
        </is>
      </c>
      <c r="B36" s="7" t="inlineStr">
        <is>
          <t>Саморезы 4.2×65 к лагам</t>
        </is>
      </c>
      <c r="C36" s="6" t="inlineStr">
        <is>
          <t>упак 200 шт</t>
        </is>
      </c>
      <c r="D36" s="8" t="n">
        <v>4</v>
      </c>
      <c r="E36" s="9" t="n">
        <v>450</v>
      </c>
      <c r="F36" s="10">
        <f>IF(D36="","",D36*E36)</f>
        <v/>
      </c>
      <c r="G36" s="7" t="inlineStr">
        <is>
          <t>черновой настил 22 мм</t>
        </is>
      </c>
      <c r="H36" s="7" t="inlineStr"/>
      <c r="I36" s="7" t="inlineStr"/>
    </row>
    <row r="37">
      <c r="A37" s="11" t="inlineStr">
        <is>
          <t>4.3</t>
        </is>
      </c>
      <c r="B37" s="12" t="inlineStr">
        <is>
          <t>OSB-3 12 мм поверх пластин ТП — под ламинат</t>
        </is>
      </c>
      <c r="C37" s="11" t="inlineStr">
        <is>
          <t>лист 2500×1250</t>
        </is>
      </c>
      <c r="D37" s="13">
        <f>CEILING((Полы!G5+Полы!G6+Полы!G7+Полы!G8)/3.125,1)</f>
        <v/>
      </c>
      <c r="E37" s="14" t="n">
        <v>1250</v>
      </c>
      <c r="F37" s="15">
        <f>IF(D37="","",D37*E37)</f>
        <v/>
      </c>
      <c r="G37" s="12" t="inlineStr">
        <is>
          <t>жилые с запасом</t>
        </is>
      </c>
      <c r="H37" s="12" t="inlineStr">
        <is>
          <t>3.125 м²/лист</t>
        </is>
      </c>
      <c r="I37" s="12" t="inlineStr">
        <is>
          <t>на этот слой: подложка 1–2 мм и ламинат; фанера не закладывается</t>
        </is>
      </c>
    </row>
    <row r="38">
      <c r="A38" s="6" t="inlineStr">
        <is>
          <t>4.4</t>
        </is>
      </c>
      <c r="B38" s="7" t="inlineStr">
        <is>
          <t>ГВЛВ 10 мм, 2 слоя — пол с/у поверх ТП</t>
        </is>
      </c>
      <c r="C38" s="6" t="inlineStr">
        <is>
          <t>лист 1200×2500</t>
        </is>
      </c>
      <c r="D38" s="8" t="n">
        <v>4</v>
      </c>
      <c r="E38" s="9" t="n">
        <v>890</v>
      </c>
      <c r="F38" s="10">
        <f>IF(D38="","",D38*E38)</f>
        <v/>
      </c>
      <c r="G38" s="7" t="inlineStr">
        <is>
          <t>3.59 м² ×2 слоя + запас</t>
        </is>
      </c>
      <c r="H38" s="7" t="inlineStr">
        <is>
          <t>3.0 м²/лист</t>
        </is>
      </c>
      <c r="I38" s="7" t="inlineStr">
        <is>
          <t>под гидроизоляцию и плитку</t>
        </is>
      </c>
    </row>
    <row r="39">
      <c r="A39" s="11" t="inlineStr">
        <is>
          <t>4.5</t>
        </is>
      </c>
      <c r="B39" s="12" t="inlineStr">
        <is>
          <t>Саморезы 3.5×41 + клей по дереву на OSB 12 мм</t>
        </is>
      </c>
      <c r="C39" s="11" t="inlineStr">
        <is>
          <t>компл</t>
        </is>
      </c>
      <c r="D39" s="13" t="n">
        <v>1</v>
      </c>
      <c r="E39" s="14" t="n">
        <v>2800</v>
      </c>
      <c r="F39" s="15">
        <f>IF(D39="","",D39*E39)</f>
        <v/>
      </c>
      <c r="G39" s="12" t="inlineStr">
        <is>
          <t>OSB жилых + ГВЛВ с/у</t>
        </is>
      </c>
      <c r="H39" s="12" t="inlineStr"/>
      <c r="I39" s="12" t="inlineStr">
        <is>
          <t>листы вразбежку, не крутить в трубу</t>
        </is>
      </c>
    </row>
    <row r="40">
      <c r="A40" s="6" t="inlineStr">
        <is>
          <t>4.6</t>
        </is>
      </c>
      <c r="B40" s="7" t="inlineStr">
        <is>
          <t>Ламинат 33 кл. / SPC для тёплого пола</t>
        </is>
      </c>
      <c r="C40" s="6" t="inlineStr">
        <is>
          <t>м²</t>
        </is>
      </c>
      <c r="D40" s="8">
        <f>Полы!G5+Полы!G6+Полы!G7+Полы!G8</f>
        <v/>
      </c>
      <c r="E40" s="9" t="n">
        <v>1290</v>
      </c>
      <c r="F40" s="10">
        <f>IF(D40="","",D40*E40)</f>
        <v/>
      </c>
      <c r="G40" s="7" t="inlineStr">
        <is>
          <t>вкладка Полы, с запасом</t>
        </is>
      </c>
      <c r="H40" s="7" t="inlineStr">
        <is>
          <t>8–10 мм, допуск на ТП</t>
        </is>
      </c>
      <c r="I40" s="7" t="inlineStr">
        <is>
          <t>класть на OSB 12 мм, не на пластины</t>
        </is>
      </c>
    </row>
    <row r="41">
      <c r="A41" s="11" t="inlineStr">
        <is>
          <t>4.7</t>
        </is>
      </c>
      <c r="B41" s="12" t="inlineStr">
        <is>
          <t>Подложка под ламинат для ТП (тонкая 1–2 мм)</t>
        </is>
      </c>
      <c r="C41" s="11" t="inlineStr">
        <is>
          <t>м²</t>
        </is>
      </c>
      <c r="D41" s="13">
        <f>Полы!G5+Полы!G6+Полы!G7+Полы!G8</f>
        <v/>
      </c>
      <c r="E41" s="14" t="n">
        <v>180</v>
      </c>
      <c r="F41" s="15">
        <f>IF(D41="","",D41*E41)</f>
        <v/>
      </c>
      <c r="G41" s="12" t="inlineStr">
        <is>
          <t>вкладка Полы</t>
        </is>
      </c>
      <c r="H41" s="12" t="inlineStr">
        <is>
          <t>не фольгированная толстая</t>
        </is>
      </c>
      <c r="I41" s="12" t="inlineStr">
        <is>
          <t>не режет тепло</t>
        </is>
      </c>
    </row>
    <row r="42">
      <c r="A42" s="6" t="inlineStr">
        <is>
          <t>4.8</t>
        </is>
      </c>
      <c r="B42" s="7" t="inlineStr">
        <is>
          <t>Пороги / стык ламинат–плитка</t>
        </is>
      </c>
      <c r="C42" s="6" t="inlineStr">
        <is>
          <t>шт</t>
        </is>
      </c>
      <c r="D42" s="8" t="n">
        <v>2</v>
      </c>
      <c r="E42" s="9" t="n">
        <v>650</v>
      </c>
      <c r="F42" s="10">
        <f>IF(D42="","",D42*E42)</f>
        <v/>
      </c>
      <c r="G42" s="7" t="inlineStr">
        <is>
          <t>с/у и вход</t>
        </is>
      </c>
      <c r="H42" s="7" t="inlineStr">
        <is>
          <t>алюминий / Т-профиль</t>
        </is>
      </c>
      <c r="I42" s="7" t="inlineStr"/>
    </row>
    <row r="43">
      <c r="A43" s="16" t="n"/>
      <c r="B43" s="16" t="inlineStr">
        <is>
          <t>Итого по разделу</t>
        </is>
      </c>
      <c r="C43" s="16" t="n"/>
      <c r="D43" s="16" t="n"/>
      <c r="E43" s="16" t="n"/>
      <c r="F43" s="17">
        <f>SUM(F35:F42)</f>
        <v/>
      </c>
      <c r="G43" s="16" t="n"/>
      <c r="H43" s="16" t="n"/>
      <c r="I43" s="16" t="n"/>
    </row>
    <row r="45">
      <c r="A45" s="4" t="inlineStr">
        <is>
          <t>5.  Санузел — гидроизоляция, плитка, потолок (МДФ нет)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6" t="inlineStr">
        <is>
          <t>5.1</t>
        </is>
      </c>
      <c r="B46" s="7" t="inlineStr">
        <is>
          <t>Гидроизоляция обмазочная + лента углов</t>
        </is>
      </c>
      <c r="C46" s="6" t="inlineStr">
        <is>
          <t>компл</t>
        </is>
      </c>
      <c r="D46" s="8" t="n">
        <v>1</v>
      </c>
      <c r="E46" s="9" t="n">
        <v>4200</v>
      </c>
      <c r="F46" s="10">
        <f>IF(D46="","",D46*E46)</f>
        <v/>
      </c>
      <c r="G46" s="7" t="inlineStr">
        <is>
          <t>вкладка С_у</t>
        </is>
      </c>
      <c r="H46" s="7" t="inlineStr">
        <is>
          <t>Ceresit CR / Knauf Флэхендихт</t>
        </is>
      </c>
      <c r="I46" s="7" t="inlineStr">
        <is>
          <t>пол + стены на 2 м</t>
        </is>
      </c>
    </row>
    <row r="47">
      <c r="A47" s="11" t="inlineStr">
        <is>
          <t>5.2</t>
        </is>
      </c>
      <c r="B47" s="12" t="inlineStr">
        <is>
          <t>Плитка настенная</t>
        </is>
      </c>
      <c r="C47" s="11" t="inlineStr">
        <is>
          <t>м²</t>
        </is>
      </c>
      <c r="D47" s="13">
        <f>'С_у'!D5</f>
        <v/>
      </c>
      <c r="E47" s="14" t="n">
        <v>1450</v>
      </c>
      <c r="F47" s="15">
        <f>IF(D47="","",D47*E47)</f>
        <v/>
      </c>
      <c r="G47" s="12" t="inlineStr">
        <is>
          <t>вкладка С_у +12%</t>
        </is>
      </c>
      <c r="H47" s="12" t="inlineStr">
        <is>
          <t>кафель 250×400 / 200×600</t>
        </is>
      </c>
      <c r="I47" s="12" t="inlineStr"/>
    </row>
    <row r="48">
      <c r="A48" s="6" t="inlineStr">
        <is>
          <t>5.3</t>
        </is>
      </c>
      <c r="B48" s="7" t="inlineStr">
        <is>
          <t>Керамогранит пола с/у</t>
        </is>
      </c>
      <c r="C48" s="6" t="inlineStr">
        <is>
          <t>м²</t>
        </is>
      </c>
      <c r="D48" s="8">
        <f>'С_у'!D6</f>
        <v/>
      </c>
      <c r="E48" s="9" t="n">
        <v>1690</v>
      </c>
      <c r="F48" s="10">
        <f>IF(D48="","",D48*E48)</f>
        <v/>
      </c>
      <c r="G48" s="7" t="inlineStr">
        <is>
          <t>вкладка С_у +12%</t>
        </is>
      </c>
      <c r="H48" s="7" t="inlineStr">
        <is>
          <t>противоскользящий</t>
        </is>
      </c>
      <c r="I48" s="7" t="inlineStr">
        <is>
          <t>поверх ТП</t>
        </is>
      </c>
    </row>
    <row r="49">
      <c r="A49" s="11" t="inlineStr">
        <is>
          <t>5.4</t>
        </is>
      </c>
      <c r="B49" s="12" t="inlineStr">
        <is>
          <t>Клей плиточный эластичный C2 S1 (на ТП)</t>
        </is>
      </c>
      <c r="C49" s="11" t="inlineStr">
        <is>
          <t>кг</t>
        </is>
      </c>
      <c r="D49" s="13" t="n">
        <v>75</v>
      </c>
      <c r="E49" s="14" t="n">
        <v>42</v>
      </c>
      <c r="F49" s="15">
        <f>IF(D49="","",D49*E49)</f>
        <v/>
      </c>
      <c r="G49" s="12" t="inlineStr">
        <is>
          <t>стены+пол с/у</t>
        </is>
      </c>
      <c r="H49" s="12" t="inlineStr">
        <is>
          <t>мешок 25 кг ×3</t>
        </is>
      </c>
      <c r="I49" s="12" t="inlineStr"/>
    </row>
    <row r="50">
      <c r="A50" s="6" t="inlineStr">
        <is>
          <t>5.5</t>
        </is>
      </c>
      <c r="B50" s="7" t="inlineStr">
        <is>
          <t>Затирка + герметик санитарный</t>
        </is>
      </c>
      <c r="C50" s="6" t="inlineStr">
        <is>
          <t>компл</t>
        </is>
      </c>
      <c r="D50" s="8" t="n">
        <v>1</v>
      </c>
      <c r="E50" s="9" t="n">
        <v>1800</v>
      </c>
      <c r="F50" s="10">
        <f>IF(D50="","",D50*E50)</f>
        <v/>
      </c>
      <c r="G50" s="7" t="inlineStr"/>
      <c r="H50" s="7" t="inlineStr">
        <is>
          <t>2 кг затирки + 2 тубы</t>
        </is>
      </c>
      <c r="I50" s="7" t="inlineStr"/>
    </row>
    <row r="51">
      <c r="A51" s="11" t="inlineStr">
        <is>
          <t>5.6</t>
        </is>
      </c>
      <c r="B51" s="12" t="inlineStr">
        <is>
          <t>Уголки / раскладка плитки, крестики, клинья</t>
        </is>
      </c>
      <c r="C51" s="11" t="inlineStr">
        <is>
          <t>компл</t>
        </is>
      </c>
      <c r="D51" s="13" t="n">
        <v>1</v>
      </c>
      <c r="E51" s="14" t="n">
        <v>1200</v>
      </c>
      <c r="F51" s="15">
        <f>IF(D51="","",D51*E51)</f>
        <v/>
      </c>
      <c r="G51" s="12" t="inlineStr"/>
      <c r="H51" s="12" t="inlineStr"/>
      <c r="I51" s="12" t="inlineStr"/>
    </row>
    <row r="52">
      <c r="A52" s="6" t="inlineStr">
        <is>
          <t>5.7</t>
        </is>
      </c>
      <c r="B52" s="7" t="inlineStr">
        <is>
          <t>Краска влагостойкая на потолок с/у</t>
        </is>
      </c>
      <c r="C52" s="6" t="inlineStr">
        <is>
          <t>л</t>
        </is>
      </c>
      <c r="D52" s="8" t="n">
        <v>2</v>
      </c>
      <c r="E52" s="9" t="n">
        <v>780</v>
      </c>
      <c r="F52" s="10">
        <f>IF(D52="","",D52*E52)</f>
        <v/>
      </c>
      <c r="G52" s="7">
        <f>'С_у'!D7</f>
        <v/>
      </c>
      <c r="H52" s="7" t="inlineStr">
        <is>
          <t>2 слоя</t>
        </is>
      </c>
      <c r="I52" s="7" t="inlineStr"/>
    </row>
    <row r="53">
      <c r="A53" s="11" t="inlineStr">
        <is>
          <t>5.8</t>
        </is>
      </c>
      <c r="B53" s="12" t="inlineStr">
        <is>
          <t>Ревизионный люк / лючок</t>
        </is>
      </c>
      <c r="C53" s="11" t="inlineStr">
        <is>
          <t>шт</t>
        </is>
      </c>
      <c r="D53" s="13" t="n">
        <v>1</v>
      </c>
      <c r="E53" s="14" t="n">
        <v>1900</v>
      </c>
      <c r="F53" s="15">
        <f>IF(D53="","",D53*E53)</f>
        <v/>
      </c>
      <c r="G53" s="12" t="inlineStr"/>
      <c r="H53" s="12" t="inlineStr">
        <is>
          <t>200×200 / 300×300</t>
        </is>
      </c>
      <c r="I53" s="12" t="inlineStr">
        <is>
          <t>если спрятан коллектор/фильтры</t>
        </is>
      </c>
    </row>
    <row r="54">
      <c r="A54" s="16" t="n"/>
      <c r="B54" s="16" t="inlineStr">
        <is>
          <t>Итого по разделу</t>
        </is>
      </c>
      <c r="C54" s="16" t="n"/>
      <c r="D54" s="16" t="n"/>
      <c r="E54" s="16" t="n"/>
      <c r="F54" s="17">
        <f>SUM(F46:F53)</f>
        <v/>
      </c>
      <c r="G54" s="16" t="n"/>
      <c r="H54" s="16" t="n"/>
      <c r="I54" s="16" t="n"/>
    </row>
    <row r="56">
      <c r="A56" s="4" t="inlineStr">
        <is>
          <t>6.  Сантехника — приборы (трубы в разделе 8)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11" t="inlineStr">
        <is>
          <t>6.1</t>
        </is>
      </c>
      <c r="B57" s="12" t="inlineStr">
        <is>
          <t>Унитаз-компакт с сиденьем микролифт</t>
        </is>
      </c>
      <c r="C57" s="11" t="inlineStr">
        <is>
          <t>шт</t>
        </is>
      </c>
      <c r="D57" s="13" t="n">
        <v>1</v>
      </c>
      <c r="E57" s="14" t="n">
        <v>8900</v>
      </c>
      <c r="F57" s="15">
        <f>IF(D57="","",D57*E57)</f>
        <v/>
      </c>
      <c r="G57" s="12" t="inlineStr">
        <is>
          <t>план с/у</t>
        </is>
      </c>
      <c r="H57" s="12" t="inlineStr"/>
      <c r="I57" s="12" t="inlineStr"/>
    </row>
    <row r="58">
      <c r="A58" s="6" t="inlineStr">
        <is>
          <t>6.2</t>
        </is>
      </c>
      <c r="B58" s="7" t="inlineStr">
        <is>
          <t>Душевой поддон 900×900 + ограждение / шторка</t>
        </is>
      </c>
      <c r="C58" s="6" t="inlineStr">
        <is>
          <t>компл</t>
        </is>
      </c>
      <c r="D58" s="8" t="n">
        <v>1</v>
      </c>
      <c r="E58" s="9" t="n">
        <v>18900</v>
      </c>
      <c r="F58" s="10">
        <f>IF(D58="","",D58*E58)</f>
        <v/>
      </c>
      <c r="G58" s="7" t="inlineStr">
        <is>
          <t>душ 0.9×0.9 по плану</t>
        </is>
      </c>
      <c r="H58" s="7" t="inlineStr">
        <is>
          <t>акрил + стекло/шторка</t>
        </is>
      </c>
      <c r="I58" s="7" t="inlineStr"/>
    </row>
    <row r="59">
      <c r="A59" s="11" t="inlineStr">
        <is>
          <t>6.3</t>
        </is>
      </c>
      <c r="B59" s="12" t="inlineStr">
        <is>
          <t>Смеситель душ с лейкой / стойкой</t>
        </is>
      </c>
      <c r="C59" s="11" t="inlineStr">
        <is>
          <t>шт</t>
        </is>
      </c>
      <c r="D59" s="13" t="n">
        <v>1</v>
      </c>
      <c r="E59" s="14" t="n">
        <v>6200</v>
      </c>
      <c r="F59" s="15">
        <f>IF(D59="","",D59*E59)</f>
        <v/>
      </c>
      <c r="G59" s="12" t="inlineStr"/>
      <c r="H59" s="12" t="inlineStr"/>
      <c r="I59" s="12" t="inlineStr"/>
    </row>
    <row r="60">
      <c r="A60" s="6" t="inlineStr">
        <is>
          <t>6.4</t>
        </is>
      </c>
      <c r="B60" s="7" t="inlineStr">
        <is>
          <t>Трап душевой / сифон поддона</t>
        </is>
      </c>
      <c r="C60" s="6" t="inlineStr">
        <is>
          <t>шт</t>
        </is>
      </c>
      <c r="D60" s="8" t="n">
        <v>1</v>
      </c>
      <c r="E60" s="9" t="n">
        <v>2400</v>
      </c>
      <c r="F60" s="10">
        <f>IF(D60="","",D60*E60)</f>
        <v/>
      </c>
      <c r="G60" s="7" t="inlineStr"/>
      <c r="H60" s="7" t="inlineStr"/>
      <c r="I60" s="7" t="inlineStr"/>
    </row>
    <row r="61">
      <c r="A61" s="11" t="inlineStr">
        <is>
          <t>6.5</t>
        </is>
      </c>
      <c r="B61" s="12" t="inlineStr">
        <is>
          <t>Раковина + сифон + смеситель</t>
        </is>
      </c>
      <c r="C61" s="11" t="inlineStr">
        <is>
          <t>компл</t>
        </is>
      </c>
      <c r="D61" s="13" t="n">
        <v>1</v>
      </c>
      <c r="E61" s="14" t="n">
        <v>7800</v>
      </c>
      <c r="F61" s="15">
        <f>IF(D61="","",D61*E61)</f>
        <v/>
      </c>
      <c r="G61" s="12" t="inlineStr">
        <is>
          <t>план с/у</t>
        </is>
      </c>
      <c r="H61" s="12" t="inlineStr"/>
      <c r="I61" s="12" t="inlineStr"/>
    </row>
    <row r="62">
      <c r="A62" s="6" t="inlineStr">
        <is>
          <t>6.6</t>
        </is>
      </c>
      <c r="B62" s="7" t="inlineStr">
        <is>
          <t>Полотенцесушитель водяной или электрический</t>
        </is>
      </c>
      <c r="C62" s="6" t="inlineStr">
        <is>
          <t>шт</t>
        </is>
      </c>
      <c r="D62" s="8" t="n">
        <v>1</v>
      </c>
      <c r="E62" s="9" t="n">
        <v>6500</v>
      </c>
      <c r="F62" s="10">
        <f>IF(D62="","",D62*E62)</f>
        <v/>
      </c>
      <c r="G62" s="7" t="inlineStr"/>
      <c r="H62" s="7" t="inlineStr">
        <is>
          <t>электрический проще на сухом ТП</t>
        </is>
      </c>
      <c r="I62" s="7" t="inlineStr"/>
    </row>
    <row r="63">
      <c r="A63" s="11" t="inlineStr">
        <is>
          <t>6.7</t>
        </is>
      </c>
      <c r="B63" s="12" t="inlineStr">
        <is>
          <t>Фильтр механический + кран шаровый комплект</t>
        </is>
      </c>
      <c r="C63" s="11" t="inlineStr">
        <is>
          <t>компл</t>
        </is>
      </c>
      <c r="D63" s="13" t="n">
        <v>1</v>
      </c>
      <c r="E63" s="14" t="n">
        <v>2800</v>
      </c>
      <c r="F63" s="15">
        <f>IF(D63="","",D63*E63)</f>
        <v/>
      </c>
      <c r="G63" s="12" t="inlineStr">
        <is>
          <t>ввод воды</t>
        </is>
      </c>
      <c r="H63" s="12" t="inlineStr"/>
      <c r="I63" s="12" t="inlineStr"/>
    </row>
    <row r="64">
      <c r="A64" s="16" t="n"/>
      <c r="B64" s="16" t="inlineStr">
        <is>
          <t>Итого по разделу</t>
        </is>
      </c>
      <c r="C64" s="16" t="n"/>
      <c r="D64" s="16" t="n"/>
      <c r="E64" s="16" t="n"/>
      <c r="F64" s="17">
        <f>SUM(F57:F63)</f>
        <v/>
      </c>
      <c r="G64" s="16" t="n"/>
      <c r="H64" s="16" t="n"/>
      <c r="I64" s="16" t="n"/>
    </row>
    <row r="66">
      <c r="A66" s="4" t="inlineStr">
        <is>
          <t>7.  Источник тепла (дом без радиаторов, только ТП)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11" t="inlineStr">
        <is>
          <t>7.1</t>
        </is>
      </c>
      <c r="B67" s="12" t="inlineStr">
        <is>
          <t>Электрокотёл 6–8 кВт с насосом</t>
        </is>
      </c>
      <c r="C67" s="11" t="inlineStr">
        <is>
          <t>шт</t>
        </is>
      </c>
      <c r="D67" s="13" t="n">
        <v>1</v>
      </c>
      <c r="E67" s="14" t="n">
        <v>28900</v>
      </c>
      <c r="F67" s="15">
        <f>IF(D67="","",D67*E67)</f>
        <v/>
      </c>
      <c r="G67" s="12" t="inlineStr">
        <is>
          <t>теплопотери утеплённого барнхауса ~3–5 кВт</t>
        </is>
      </c>
      <c r="H67" s="12" t="inlineStr">
        <is>
          <t>Protherm / Эван / Vaillant</t>
        </is>
      </c>
      <c r="I67" s="12" t="inlineStr">
        <is>
          <t>можно заменить на тепловой насос — тогда эта строка 0</t>
        </is>
      </c>
    </row>
    <row r="68">
      <c r="A68" s="6" t="inlineStr">
        <is>
          <t>7.2</t>
        </is>
      </c>
      <c r="B68" s="7" t="inlineStr">
        <is>
          <t>Бойлер / водонагреватель 80 л</t>
        </is>
      </c>
      <c r="C68" s="6" t="inlineStr">
        <is>
          <t>шт</t>
        </is>
      </c>
      <c r="D68" s="8" t="n">
        <v>1</v>
      </c>
      <c r="E68" s="9" t="n">
        <v>16500</v>
      </c>
      <c r="F68" s="10">
        <f>IF(D68="","",D68*E68)</f>
        <v/>
      </c>
      <c r="G68" s="7" t="inlineStr">
        <is>
          <t>ГВС на 2 чел. + запас</t>
        </is>
      </c>
      <c r="H68" s="7" t="inlineStr">
        <is>
          <t>накопительный</t>
        </is>
      </c>
      <c r="I68" s="7" t="inlineStr">
        <is>
          <t>если котёл двухконтурный — строку обнулить</t>
        </is>
      </c>
    </row>
    <row r="69">
      <c r="A69" s="11" t="inlineStr">
        <is>
          <t>7.3</t>
        </is>
      </c>
      <c r="B69" s="12" t="inlineStr">
        <is>
          <t>Группа безопасности + расширительный бак 8–12 л</t>
        </is>
      </c>
      <c r="C69" s="11" t="inlineStr">
        <is>
          <t>компл</t>
        </is>
      </c>
      <c r="D69" s="13" t="n">
        <v>1</v>
      </c>
      <c r="E69" s="14" t="n">
        <v>5400</v>
      </c>
      <c r="F69" s="15">
        <f>IF(D69="","",D69*E69)</f>
        <v/>
      </c>
      <c r="G69" s="12" t="inlineStr"/>
      <c r="H69" s="12" t="inlineStr"/>
      <c r="I69" s="12" t="inlineStr"/>
    </row>
    <row r="70">
      <c r="A70" s="6" t="inlineStr">
        <is>
          <t>7.4</t>
        </is>
      </c>
      <c r="B70" s="7" t="inlineStr">
        <is>
          <t>Труба подачи котёл–коллектор PEX/PP 25 мм + изоляция</t>
        </is>
      </c>
      <c r="C70" s="6" t="inlineStr">
        <is>
          <t>м</t>
        </is>
      </c>
      <c r="D70" s="8" t="n">
        <v>16</v>
      </c>
      <c r="E70" s="9" t="n">
        <v>145</v>
      </c>
      <c r="F70" s="10">
        <f>IF(D70="","",D70*E70)</f>
        <v/>
      </c>
      <c r="G70" s="7" t="inlineStr">
        <is>
          <t>котельная → коллектор</t>
        </is>
      </c>
      <c r="H70" s="7" t="inlineStr"/>
      <c r="I70" s="7" t="inlineStr"/>
    </row>
    <row r="71">
      <c r="A71" s="11" t="inlineStr">
        <is>
          <t>7.5</t>
        </is>
      </c>
      <c r="B71" s="12" t="inlineStr">
        <is>
          <t>Краны, грязевик, термоманометр</t>
        </is>
      </c>
      <c r="C71" s="11" t="inlineStr">
        <is>
          <t>компл</t>
        </is>
      </c>
      <c r="D71" s="13" t="n">
        <v>1</v>
      </c>
      <c r="E71" s="14" t="n">
        <v>3200</v>
      </c>
      <c r="F71" s="15">
        <f>IF(D71="","",D71*E71)</f>
        <v/>
      </c>
      <c r="G71" s="12" t="inlineStr"/>
      <c r="H71" s="12" t="inlineStr"/>
      <c r="I71" s="12" t="inlineStr"/>
    </row>
    <row r="72">
      <c r="A72" s="16" t="n"/>
      <c r="B72" s="16" t="inlineStr">
        <is>
          <t>Итого по разделу</t>
        </is>
      </c>
      <c r="C72" s="16" t="n"/>
      <c r="D72" s="16" t="n"/>
      <c r="E72" s="16" t="n"/>
      <c r="F72" s="17">
        <f>SUM(F67:F71)</f>
        <v/>
      </c>
      <c r="G72" s="16" t="n"/>
      <c r="H72" s="16" t="n"/>
      <c r="I72" s="16" t="n"/>
    </row>
    <row r="74">
      <c r="A74" s="4" t="inlineStr">
        <is>
          <t>8.  Водопровод и канализация внутри дома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11" t="inlineStr">
        <is>
          <t>8.1</t>
        </is>
      </c>
      <c r="B75" s="12" t="inlineStr">
        <is>
          <t>Труба PPR / PEX 20 мм холод+горяч</t>
        </is>
      </c>
      <c r="C75" s="11" t="inlineStr">
        <is>
          <t>м</t>
        </is>
      </c>
      <c r="D75" s="13" t="n">
        <v>24</v>
      </c>
      <c r="E75" s="14" t="n">
        <v>78</v>
      </c>
      <c r="F75" s="15">
        <f>IF(D75="","",D75*E75)</f>
        <v/>
      </c>
      <c r="G75" s="12" t="inlineStr">
        <is>
          <t>с/у + бойлер, без кухни</t>
        </is>
      </c>
      <c r="H75" s="12" t="inlineStr"/>
      <c r="I75" s="12" t="inlineStr"/>
    </row>
    <row r="76">
      <c r="A76" s="6" t="inlineStr">
        <is>
          <t>8.2</t>
        </is>
      </c>
      <c r="B76" s="7" t="inlineStr">
        <is>
          <t>Труба канализация 50 мм + отводы</t>
        </is>
      </c>
      <c r="C76" s="6" t="inlineStr">
        <is>
          <t>м</t>
        </is>
      </c>
      <c r="D76" s="8" t="n">
        <v>6</v>
      </c>
      <c r="E76" s="9" t="n">
        <v>165</v>
      </c>
      <c r="F76" s="10">
        <f>IF(D76="","",D76*E76)</f>
        <v/>
      </c>
      <c r="G76" s="7" t="inlineStr">
        <is>
          <t>умывальник, душ, стиралка</t>
        </is>
      </c>
      <c r="H76" s="7" t="inlineStr">
        <is>
          <t>серая ПП</t>
        </is>
      </c>
      <c r="I76" s="7" t="inlineStr"/>
    </row>
    <row r="77">
      <c r="A77" s="11" t="inlineStr">
        <is>
          <t>8.3</t>
        </is>
      </c>
      <c r="B77" s="12" t="inlineStr">
        <is>
          <t>Труба канализация 110 мм + тройники</t>
        </is>
      </c>
      <c r="C77" s="11" t="inlineStr">
        <is>
          <t>м</t>
        </is>
      </c>
      <c r="D77" s="13" t="n">
        <v>8</v>
      </c>
      <c r="E77" s="14" t="n">
        <v>290</v>
      </c>
      <c r="F77" s="15">
        <f>IF(D77="","",D77*E77)</f>
        <v/>
      </c>
      <c r="G77" s="12" t="inlineStr">
        <is>
          <t>унитаз + выпуск</t>
        </is>
      </c>
      <c r="H77" s="12" t="inlineStr"/>
      <c r="I77" s="12" t="inlineStr">
        <is>
          <t>выпуск до наружной трубы — внутри дома</t>
        </is>
      </c>
    </row>
    <row r="78">
      <c r="A78" s="6" t="inlineStr">
        <is>
          <t>8.4</t>
        </is>
      </c>
      <c r="B78" s="7" t="inlineStr">
        <is>
          <t>Клипсы, хомуты, манжеты, ревизия</t>
        </is>
      </c>
      <c r="C78" s="6" t="inlineStr">
        <is>
          <t>компл</t>
        </is>
      </c>
      <c r="D78" s="8" t="n">
        <v>1</v>
      </c>
      <c r="E78" s="9" t="n">
        <v>2100</v>
      </c>
      <c r="F78" s="10">
        <f>IF(D78="","",D78*E78)</f>
        <v/>
      </c>
      <c r="G78" s="7" t="inlineStr"/>
      <c r="H78" s="7" t="inlineStr"/>
      <c r="I78" s="7" t="inlineStr"/>
    </row>
    <row r="79">
      <c r="A79" s="11" t="inlineStr">
        <is>
          <t>8.5</t>
        </is>
      </c>
      <c r="B79" s="12" t="inlineStr">
        <is>
          <t>Гибкие подводки</t>
        </is>
      </c>
      <c r="C79" s="11" t="inlineStr">
        <is>
          <t>шт</t>
        </is>
      </c>
      <c r="D79" s="13" t="n">
        <v>6</v>
      </c>
      <c r="E79" s="14" t="n">
        <v>220</v>
      </c>
      <c r="F79" s="15">
        <f>IF(D79="","",D79*E79)</f>
        <v/>
      </c>
      <c r="G79" s="12" t="inlineStr">
        <is>
          <t>с/у точки</t>
        </is>
      </c>
      <c r="H79" s="12" t="inlineStr">
        <is>
          <t>40–50 см</t>
        </is>
      </c>
      <c r="I79" s="12" t="inlineStr"/>
    </row>
    <row r="80">
      <c r="A80" s="16" t="n"/>
      <c r="B80" s="16" t="inlineStr">
        <is>
          <t>Итого по разделу</t>
        </is>
      </c>
      <c r="C80" s="16" t="n"/>
      <c r="D80" s="16" t="n"/>
      <c r="E80" s="16" t="n"/>
      <c r="F80" s="17">
        <f>SUM(F75:F79)</f>
        <v/>
      </c>
      <c r="G80" s="16" t="n"/>
      <c r="H80" s="16" t="n"/>
      <c r="I80" s="16" t="n"/>
    </row>
    <row r="82">
      <c r="A82" s="4" t="inlineStr">
        <is>
          <t>9.  Электрика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11" t="inlineStr">
        <is>
          <t>9.1</t>
        </is>
      </c>
      <c r="B83" s="12" t="inlineStr">
        <is>
          <t>Щиток навесной 18 модулей + DIN</t>
        </is>
      </c>
      <c r="C83" s="11" t="inlineStr">
        <is>
          <t>шт</t>
        </is>
      </c>
      <c r="D83" s="13" t="n">
        <v>1</v>
      </c>
      <c r="E83" s="14" t="n">
        <v>3200</v>
      </c>
      <c r="F83" s="15">
        <f>IF(D83="","",D83*E83)</f>
        <v/>
      </c>
      <c r="G83" s="12" t="inlineStr">
        <is>
          <t>холл</t>
        </is>
      </c>
      <c r="H83" s="12" t="inlineStr"/>
      <c r="I83" s="12" t="inlineStr"/>
    </row>
    <row r="84">
      <c r="A84" s="6" t="inlineStr">
        <is>
          <t>9.2</t>
        </is>
      </c>
      <c r="B84" s="7" t="inlineStr">
        <is>
          <t>Автоматы, УЗО, реле напряжения, нулевые шины</t>
        </is>
      </c>
      <c r="C84" s="6" t="inlineStr">
        <is>
          <t>компл</t>
        </is>
      </c>
      <c r="D84" s="8" t="n">
        <v>1</v>
      </c>
      <c r="E84" s="9" t="n">
        <v>8900</v>
      </c>
      <c r="F84" s="10">
        <f>IF(D84="","",D84*E84)</f>
        <v/>
      </c>
      <c r="G84" s="7" t="inlineStr">
        <is>
          <t>свет, розетки, стиралка, бойлер, котёл</t>
        </is>
      </c>
      <c r="H84" s="7" t="inlineStr">
        <is>
          <t>ABB / IEK / Systeme</t>
        </is>
      </c>
      <c r="I84" s="7" t="inlineStr">
        <is>
          <t>без линии плиты — кухню не закладываем</t>
        </is>
      </c>
    </row>
    <row r="85">
      <c r="A85" s="11" t="inlineStr">
        <is>
          <t>9.3</t>
        </is>
      </c>
      <c r="B85" s="12" t="inlineStr">
        <is>
          <t>Кабель ВВГнг-LS 3×2.5</t>
        </is>
      </c>
      <c r="C85" s="11" t="inlineStr">
        <is>
          <t>м</t>
        </is>
      </c>
      <c r="D85" s="13" t="n">
        <v>80</v>
      </c>
      <c r="E85" s="14" t="n">
        <v>86</v>
      </c>
      <c r="F85" s="15">
        <f>IF(D85="","",D85*E85)</f>
        <v/>
      </c>
      <c r="G85" s="12" t="inlineStr">
        <is>
          <t>розетки</t>
        </is>
      </c>
      <c r="H85" s="12" t="inlineStr"/>
      <c r="I85" s="12" t="inlineStr"/>
    </row>
    <row r="86">
      <c r="A86" s="6" t="inlineStr">
        <is>
          <t>9.4</t>
        </is>
      </c>
      <c r="B86" s="7" t="inlineStr">
        <is>
          <t>Кабель ВВГнг-LS 3×1.5</t>
        </is>
      </c>
      <c r="C86" s="6" t="inlineStr">
        <is>
          <t>м</t>
        </is>
      </c>
      <c r="D86" s="8" t="n">
        <v>70</v>
      </c>
      <c r="E86" s="9" t="n">
        <v>58</v>
      </c>
      <c r="F86" s="10">
        <f>IF(D86="","",D86*E86)</f>
        <v/>
      </c>
      <c r="G86" s="7" t="inlineStr">
        <is>
          <t>освещение</t>
        </is>
      </c>
      <c r="H86" s="7" t="inlineStr"/>
      <c r="I86" s="7" t="inlineStr"/>
    </row>
    <row r="87">
      <c r="A87" s="11" t="inlineStr">
        <is>
          <t>9.5</t>
        </is>
      </c>
      <c r="B87" s="12" t="inlineStr">
        <is>
          <t>Кабель ВВГнг-LS 3×4 (бойлер)</t>
        </is>
      </c>
      <c r="C87" s="11" t="inlineStr">
        <is>
          <t>м</t>
        </is>
      </c>
      <c r="D87" s="13" t="n">
        <v>12</v>
      </c>
      <c r="E87" s="14" t="n">
        <v>128</v>
      </c>
      <c r="F87" s="15">
        <f>IF(D87="","",D87*E87)</f>
        <v/>
      </c>
      <c r="G87" s="12" t="inlineStr">
        <is>
          <t>1 линия</t>
        </is>
      </c>
      <c r="H87" s="12" t="inlineStr"/>
      <c r="I87" s="12" t="inlineStr"/>
    </row>
    <row r="88">
      <c r="A88" s="6" t="inlineStr">
        <is>
          <t>9.6</t>
        </is>
      </c>
      <c r="B88" s="7" t="inlineStr">
        <is>
          <t>Гофра ПВХ 16–20 мм + клипсы</t>
        </is>
      </c>
      <c r="C88" s="6" t="inlineStr">
        <is>
          <t>м</t>
        </is>
      </c>
      <c r="D88" s="8" t="n">
        <v>120</v>
      </c>
      <c r="E88" s="9" t="n">
        <v>22</v>
      </c>
      <c r="F88" s="10">
        <f>IF(D88="","",D88*E88)</f>
        <v/>
      </c>
      <c r="G88" s="7" t="inlineStr">
        <is>
          <t>по каркасу</t>
        </is>
      </c>
      <c r="H88" s="7" t="inlineStr"/>
      <c r="I88" s="7" t="inlineStr">
        <is>
          <t>перегородки уже стоят — тянем в пустотах</t>
        </is>
      </c>
    </row>
    <row r="89">
      <c r="A89" s="11" t="inlineStr">
        <is>
          <t>9.7</t>
        </is>
      </c>
      <c r="B89" s="12" t="inlineStr">
        <is>
          <t>Подрозетники</t>
        </is>
      </c>
      <c r="C89" s="11" t="inlineStr">
        <is>
          <t>шт</t>
        </is>
      </c>
      <c r="D89" s="13" t="n">
        <v>36</v>
      </c>
      <c r="E89" s="14" t="n">
        <v>28</v>
      </c>
      <c r="F89" s="15">
        <f>IF(D89="","",D89*E89)</f>
        <v/>
      </c>
      <c r="G89" s="12" t="inlineStr"/>
      <c r="H89" s="12" t="inlineStr"/>
      <c r="I89" s="12" t="inlineStr"/>
    </row>
    <row r="90">
      <c r="A90" s="6" t="inlineStr">
        <is>
          <t>9.8</t>
        </is>
      </c>
      <c r="B90" s="7" t="inlineStr">
        <is>
          <t>Розетки 16А</t>
        </is>
      </c>
      <c r="C90" s="6" t="inlineStr">
        <is>
          <t>шт</t>
        </is>
      </c>
      <c r="D90" s="8" t="n">
        <v>18</v>
      </c>
      <c r="E90" s="9" t="n">
        <v>240</v>
      </c>
      <c r="F90" s="10">
        <f>IF(D90="","",D90*E90)</f>
        <v/>
      </c>
      <c r="G90" s="7" t="inlineStr">
        <is>
          <t>по комнатам + с/у IP44</t>
        </is>
      </c>
      <c r="H90" s="7" t="inlineStr"/>
      <c r="I90" s="7" t="inlineStr">
        <is>
          <t>без кухонного блока</t>
        </is>
      </c>
    </row>
    <row r="91">
      <c r="A91" s="11" t="inlineStr">
        <is>
          <t>9.9</t>
        </is>
      </c>
      <c r="B91" s="12" t="inlineStr">
        <is>
          <t>Выключатели / проходные</t>
        </is>
      </c>
      <c r="C91" s="11" t="inlineStr">
        <is>
          <t>шт</t>
        </is>
      </c>
      <c r="D91" s="13" t="n">
        <v>9</v>
      </c>
      <c r="E91" s="14" t="n">
        <v>260</v>
      </c>
      <c r="F91" s="15">
        <f>IF(D91="","",D91*E91)</f>
        <v/>
      </c>
      <c r="G91" s="12" t="inlineStr"/>
      <c r="H91" s="12" t="inlineStr"/>
      <c r="I91" s="12" t="inlineStr"/>
    </row>
    <row r="92">
      <c r="A92" s="6" t="inlineStr">
        <is>
          <t>9.10</t>
        </is>
      </c>
      <c r="B92" s="7" t="inlineStr">
        <is>
          <t>Светильники потолочные / трек (жилые)</t>
        </is>
      </c>
      <c r="C92" s="6" t="inlineStr">
        <is>
          <t>шт</t>
        </is>
      </c>
      <c r="D92" s="8" t="n">
        <v>8</v>
      </c>
      <c r="E92" s="9" t="n">
        <v>1900</v>
      </c>
      <c r="F92" s="10">
        <f>IF(D92="","",D92*E92)</f>
        <v/>
      </c>
      <c r="G92" s="7" t="inlineStr">
        <is>
          <t>скатный потолок — накладные / шина</t>
        </is>
      </c>
      <c r="H92" s="7" t="inlineStr"/>
      <c r="I92" s="7" t="inlineStr">
        <is>
          <t>можно заменить своими</t>
        </is>
      </c>
    </row>
    <row r="93">
      <c r="A93" s="11" t="inlineStr">
        <is>
          <t>9.11</t>
        </is>
      </c>
      <c r="B93" s="12" t="inlineStr">
        <is>
          <t>Светильник с/у IP44 + подсветка зеркала</t>
        </is>
      </c>
      <c r="C93" s="11" t="inlineStr">
        <is>
          <t>шт</t>
        </is>
      </c>
      <c r="D93" s="13" t="n">
        <v>2</v>
      </c>
      <c r="E93" s="14" t="n">
        <v>1600</v>
      </c>
      <c r="F93" s="15">
        <f>IF(D93="","",D93*E93)</f>
        <v/>
      </c>
      <c r="G93" s="12" t="inlineStr"/>
      <c r="H93" s="12" t="inlineStr"/>
      <c r="I93" s="12" t="inlineStr"/>
    </row>
    <row r="94">
      <c r="A94" s="6" t="inlineStr">
        <is>
          <t>9.12</t>
        </is>
      </c>
      <c r="B94" s="7" t="inlineStr">
        <is>
          <t>Вентилятор с/у Ø100 с обратным клапаном</t>
        </is>
      </c>
      <c r="C94" s="6" t="inlineStr">
        <is>
          <t>шт</t>
        </is>
      </c>
      <c r="D94" s="8" t="n">
        <v>1</v>
      </c>
      <c r="E94" s="9" t="n">
        <v>2100</v>
      </c>
      <c r="F94" s="10">
        <f>IF(D94="","",D94*E94)</f>
        <v/>
      </c>
      <c r="G94" s="7" t="inlineStr">
        <is>
          <t>в стену / через кровлю</t>
        </is>
      </c>
      <c r="H94" s="7" t="inlineStr">
        <is>
          <t>вытяжка</t>
        </is>
      </c>
      <c r="I94" s="7" t="inlineStr"/>
    </row>
    <row r="95">
      <c r="A95" s="11" t="inlineStr">
        <is>
          <t>9.13</t>
        </is>
      </c>
      <c r="B95" s="12" t="inlineStr">
        <is>
          <t>Воздуховод 100 мм + решётка + герметик</t>
        </is>
      </c>
      <c r="C95" s="11" t="inlineStr">
        <is>
          <t>компл</t>
        </is>
      </c>
      <c r="D95" s="13" t="n">
        <v>1</v>
      </c>
      <c r="E95" s="14" t="n">
        <v>1400</v>
      </c>
      <c r="F95" s="15">
        <f>IF(D95="","",D95*E95)</f>
        <v/>
      </c>
      <c r="G95" s="12" t="inlineStr"/>
      <c r="H95" s="12" t="inlineStr"/>
      <c r="I95" s="12" t="inlineStr"/>
    </row>
    <row r="96">
      <c r="A96" s="6" t="inlineStr">
        <is>
          <t>9.14</t>
        </is>
      </c>
      <c r="B96" s="7" t="inlineStr">
        <is>
          <t>Клеммы WAGO, изолента, маркировка</t>
        </is>
      </c>
      <c r="C96" s="6" t="inlineStr">
        <is>
          <t>компл</t>
        </is>
      </c>
      <c r="D96" s="8" t="n">
        <v>1</v>
      </c>
      <c r="E96" s="9" t="n">
        <v>1800</v>
      </c>
      <c r="F96" s="10">
        <f>IF(D96="","",D96*E96)</f>
        <v/>
      </c>
      <c r="G96" s="7" t="inlineStr"/>
      <c r="H96" s="7" t="inlineStr"/>
      <c r="I96" s="7" t="inlineStr"/>
    </row>
    <row r="97">
      <c r="A97" s="16" t="n"/>
      <c r="B97" s="16" t="inlineStr">
        <is>
          <t>Итого по разделу</t>
        </is>
      </c>
      <c r="C97" s="16" t="n"/>
      <c r="D97" s="16" t="n"/>
      <c r="E97" s="16" t="n"/>
      <c r="F97" s="17">
        <f>SUM(F83:F96)</f>
        <v/>
      </c>
      <c r="G97" s="16" t="n"/>
      <c r="H97" s="16" t="n"/>
      <c r="I97" s="16" t="n"/>
    </row>
    <row r="99">
      <c r="A99" s="4" t="inlineStr">
        <is>
          <t>10.  Прочее и расходники</t>
        </is>
      </c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6" t="inlineStr">
        <is>
          <t>10.1</t>
        </is>
      </c>
      <c r="B100" s="7" t="inlineStr">
        <is>
          <t>Пена, герметик акрил/силикон, клей жидкие гвозди</t>
        </is>
      </c>
      <c r="C100" s="6" t="inlineStr">
        <is>
          <t>компл</t>
        </is>
      </c>
      <c r="D100" s="8" t="n">
        <v>1</v>
      </c>
      <c r="E100" s="9" t="n">
        <v>2800</v>
      </c>
      <c r="F100" s="10">
        <f>IF(D100="","",D100*E100)</f>
        <v/>
      </c>
      <c r="G100" s="7" t="inlineStr"/>
      <c r="H100" s="7" t="inlineStr"/>
      <c r="I100" s="7" t="inlineStr"/>
    </row>
    <row r="101">
      <c r="A101" s="11" t="inlineStr">
        <is>
          <t>10.2</t>
        </is>
      </c>
      <c r="B101" s="12" t="inlineStr">
        <is>
          <t>Грунтовка универсальная + влагостойкая</t>
        </is>
      </c>
      <c r="C101" s="11" t="inlineStr">
        <is>
          <t>л</t>
        </is>
      </c>
      <c r="D101" s="13" t="n">
        <v>10</v>
      </c>
      <c r="E101" s="14" t="n">
        <v>220</v>
      </c>
      <c r="F101" s="15">
        <f>IF(D101="","",D101*E101)</f>
        <v/>
      </c>
      <c r="G101" s="12" t="inlineStr">
        <is>
          <t>ГВЛ, с/у</t>
        </is>
      </c>
      <c r="H101" s="12" t="inlineStr"/>
      <c r="I101" s="12" t="inlineStr"/>
    </row>
    <row r="102">
      <c r="A102" s="6" t="inlineStr">
        <is>
          <t>10.3</t>
        </is>
      </c>
      <c r="B102" s="7" t="inlineStr">
        <is>
          <t>Плёнка укрывная, скотч малярный, мешки</t>
        </is>
      </c>
      <c r="C102" s="6" t="inlineStr">
        <is>
          <t>компл</t>
        </is>
      </c>
      <c r="D102" s="8" t="n">
        <v>1</v>
      </c>
      <c r="E102" s="9" t="n">
        <v>1200</v>
      </c>
      <c r="F102" s="10">
        <f>IF(D102="","",D102*E102)</f>
        <v/>
      </c>
      <c r="G102" s="7" t="inlineStr"/>
      <c r="H102" s="7" t="inlineStr"/>
      <c r="I102" s="7" t="inlineStr">
        <is>
          <t>для отделки, не строительная пароизоляция</t>
        </is>
      </c>
    </row>
    <row r="103">
      <c r="A103" s="11" t="inlineStr">
        <is>
          <t>10.4</t>
        </is>
      </c>
      <c r="B103" s="12" t="inlineStr">
        <is>
          <t>Крепёж смешанный (анкера, уголки, дюбели)</t>
        </is>
      </c>
      <c r="C103" s="11" t="inlineStr">
        <is>
          <t>компл</t>
        </is>
      </c>
      <c r="D103" s="13" t="n">
        <v>1</v>
      </c>
      <c r="E103" s="14" t="n">
        <v>2500</v>
      </c>
      <c r="F103" s="15">
        <f>IF(D103="","",D103*E103)</f>
        <v/>
      </c>
      <c r="G103" s="12" t="inlineStr"/>
      <c r="H103" s="12" t="inlineStr"/>
      <c r="I103" s="12" t="inlineStr"/>
    </row>
    <row r="104">
      <c r="A104" s="16" t="n"/>
      <c r="B104" s="16" t="inlineStr">
        <is>
          <t>Итого по разделу</t>
        </is>
      </c>
      <c r="C104" s="16" t="n"/>
      <c r="D104" s="16" t="n"/>
      <c r="E104" s="16" t="n"/>
      <c r="F104" s="17">
        <f>SUM(F100:F103)</f>
        <v/>
      </c>
      <c r="G104" s="16" t="n"/>
      <c r="H104" s="16" t="n"/>
      <c r="I104" s="16" t="n"/>
    </row>
    <row r="106">
      <c r="A106" s="18" t="inlineStr">
        <is>
          <t>ИТОГО МАТЕРИАЛЫ (без работ, без окон/дверей/террасы/утепления контура)</t>
        </is>
      </c>
      <c r="B106" s="18" t="n"/>
      <c r="C106" s="18" t="n"/>
      <c r="D106" s="18" t="n"/>
      <c r="E106" s="18" t="n"/>
      <c r="F106" s="19">
        <f>F10+F21+F32+F43+F54+F64+F72+F80+F97+F104</f>
        <v/>
      </c>
      <c r="G106" s="18" t="n"/>
      <c r="H106" s="18" t="n"/>
      <c r="I106" s="18" t="n"/>
    </row>
    <row r="108">
      <c r="A108" s="20" t="inlineStr">
        <is>
          <t>Как пользоваться: меняйте столбец «Цена, ₽» — сумма раздела и итог пересчитаются. Количество с формулой тянется с вкладок Полы / Стены / Потолки / Обшивка / С_у. Строки техники (котёл, бойлер) обнулите в «Кол-во», если привезёте своё. Работы, окна, двери, утепление и плёнка наружного контура, каркасы перегородок и вся терраса в смету не входят. Цены — ориентир Петрович СПб / Valtec, сентябрь 2026; перед закупкой сверьте карточку товара. Отделка: МДФ дуб альпийский 2600×238×6 (Союз), без лака — покрытие уже на панели. Кухня (гарнитур, мойка, плита, вытяжка, смеситель) в смету не входит.</t>
        </is>
      </c>
    </row>
    <row r="109"/>
    <row r="110"/>
    <row r="111"/>
    <row r="112"/>
    <row r="113"/>
    <row r="114"/>
  </sheetData>
  <autoFilter ref="A4:I106"/>
  <mergeCells count="14">
    <mergeCell ref="A82:I82"/>
    <mergeCell ref="A2:I2"/>
    <mergeCell ref="A108:I114"/>
    <mergeCell ref="A99:I99"/>
    <mergeCell ref="A5:I5"/>
    <mergeCell ref="A66:I66"/>
    <mergeCell ref="A1:I1"/>
    <mergeCell ref="A23:I23"/>
    <mergeCell ref="A45:I45"/>
    <mergeCell ref="A56:I56"/>
    <mergeCell ref="A74:I74"/>
    <mergeCell ref="A34:I34"/>
    <mergeCell ref="A12:I12"/>
    <mergeCell ref="A106:E106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  <col width="12" customWidth="1" min="4" max="4"/>
  </cols>
  <sheetData>
    <row r="1" ht="22" customHeight="1">
      <c r="A1" s="1" t="inlineStr">
        <is>
          <t>Сводка сметы по видам работ</t>
        </is>
      </c>
    </row>
    <row r="2" ht="32" customHeight="1">
      <c r="A2" s="2" t="inlineStr">
        <is>
          <t>Только материалы. Суммы = итоги разделов вкладки Смета.</t>
        </is>
      </c>
    </row>
    <row r="4">
      <c r="A4" s="3" t="inlineStr">
        <is>
          <t>№</t>
        </is>
      </c>
      <c r="B4" s="3" t="inlineStr">
        <is>
          <t>Раздел</t>
        </is>
      </c>
      <c r="C4" s="3" t="inlineStr">
        <is>
          <t>Сумма, ₽</t>
        </is>
      </c>
      <c r="D4" s="3" t="inlineStr">
        <is>
          <t>Доля</t>
        </is>
      </c>
    </row>
    <row r="5">
      <c r="A5" s="21" t="n">
        <v>1</v>
      </c>
      <c r="B5" s="12" t="inlineStr">
        <is>
          <t>1. Перегородки — вата + ГВЛВ с/у</t>
        </is>
      </c>
      <c r="C5" s="14">
        <f>Смета!F10</f>
        <v/>
      </c>
      <c r="D5" s="22">
        <f>IF($C$16=0,0,C5/$C$16)</f>
        <v/>
      </c>
    </row>
    <row r="6">
      <c r="A6" s="23" t="n">
        <v>2</v>
      </c>
      <c r="B6" s="7" t="inlineStr">
        <is>
          <t>2. МДФ-панели и обрешётка</t>
        </is>
      </c>
      <c r="C6" s="9">
        <f>Смета!F21</f>
        <v/>
      </c>
      <c r="D6" s="24">
        <f>IF($C$16=0,0,C6/$C$16)</f>
        <v/>
      </c>
    </row>
    <row r="7">
      <c r="A7" s="21" t="n">
        <v>3</v>
      </c>
      <c r="B7" s="12" t="inlineStr">
        <is>
          <t>3. Тёплый пол сухой</t>
        </is>
      </c>
      <c r="C7" s="14">
        <f>Смета!F32</f>
        <v/>
      </c>
      <c r="D7" s="22">
        <f>IF($C$16=0,0,C7/$C$16)</f>
        <v/>
      </c>
    </row>
    <row r="8">
      <c r="A8" s="23" t="n">
        <v>4</v>
      </c>
      <c r="B8" s="7" t="inlineStr">
        <is>
          <t>4. Настил пола и ламинат</t>
        </is>
      </c>
      <c r="C8" s="9">
        <f>Смета!F43</f>
        <v/>
      </c>
      <c r="D8" s="24">
        <f>IF($C$16=0,0,C8/$C$16)</f>
        <v/>
      </c>
    </row>
    <row r="9">
      <c r="A9" s="21" t="n">
        <v>5</v>
      </c>
      <c r="B9" s="12" t="inlineStr">
        <is>
          <t>5. Санузел (плитка, гидроизоляция)</t>
        </is>
      </c>
      <c r="C9" s="14">
        <f>Смета!F54</f>
        <v/>
      </c>
      <c r="D9" s="22">
        <f>IF($C$16=0,0,C9/$C$16)</f>
        <v/>
      </c>
    </row>
    <row r="10">
      <c r="A10" s="23" t="n">
        <v>6</v>
      </c>
      <c r="B10" s="7" t="inlineStr">
        <is>
          <t>6. Сантехника — приборы</t>
        </is>
      </c>
      <c r="C10" s="9">
        <f>Смета!F64</f>
        <v/>
      </c>
      <c r="D10" s="24">
        <f>IF($C$16=0,0,C10/$C$16)</f>
        <v/>
      </c>
    </row>
    <row r="11">
      <c r="A11" s="21" t="n">
        <v>7</v>
      </c>
      <c r="B11" s="12" t="inlineStr">
        <is>
          <t>7. Источник тепла</t>
        </is>
      </c>
      <c r="C11" s="14">
        <f>Смета!F72</f>
        <v/>
      </c>
      <c r="D11" s="22">
        <f>IF($C$16=0,0,C11/$C$16)</f>
        <v/>
      </c>
    </row>
    <row r="12">
      <c r="A12" s="23" t="n">
        <v>8</v>
      </c>
      <c r="B12" s="7" t="inlineStr">
        <is>
          <t>8. Водопровод и канализация</t>
        </is>
      </c>
      <c r="C12" s="9">
        <f>Смета!F80</f>
        <v/>
      </c>
      <c r="D12" s="24">
        <f>IF($C$16=0,0,C12/$C$16)</f>
        <v/>
      </c>
    </row>
    <row r="13">
      <c r="A13" s="21" t="n">
        <v>9</v>
      </c>
      <c r="B13" s="12" t="inlineStr">
        <is>
          <t>9. Электрика и вентиляция с/у</t>
        </is>
      </c>
      <c r="C13" s="14">
        <f>Смета!F97</f>
        <v/>
      </c>
      <c r="D13" s="22">
        <f>IF($C$16=0,0,C13/$C$16)</f>
        <v/>
      </c>
    </row>
    <row r="14">
      <c r="A14" s="23" t="n">
        <v>10</v>
      </c>
      <c r="B14" s="7" t="inlineStr">
        <is>
          <t>10. Прочее и расходники</t>
        </is>
      </c>
      <c r="C14" s="9">
        <f>Смета!F104</f>
        <v/>
      </c>
      <c r="D14" s="24">
        <f>IF($C$16=0,0,C14/$C$16)</f>
        <v/>
      </c>
    </row>
    <row r="16">
      <c r="A16" s="25" t="n"/>
      <c r="B16" s="25" t="inlineStr">
        <is>
          <t>Итого материалы</t>
        </is>
      </c>
      <c r="C16" s="26">
        <f>Смета!F106</f>
        <v/>
      </c>
      <c r="D16" s="27">
        <f>SUM(D5:D14)</f>
        <v/>
      </c>
    </row>
    <row r="18">
      <c r="A18" s="28" t="inlineStr">
        <is>
          <t>Не входит в итог: работы; окна; двери; утеплитель и плёнка наружных стен, пола и потолка; каркасы перегородок; терраса; кухня (гарнитур, мойка, плита, вытяжка). Ламинат кладётся на OSB-3 12 мм поверх пластин ТП, не на пластины. Фанеры нет.</t>
        </is>
      </c>
    </row>
    <row r="19"/>
    <row r="20"/>
    <row r="21"/>
  </sheetData>
  <mergeCells count="3">
    <mergeCell ref="A1:D1"/>
    <mergeCell ref="A18:D21"/>
    <mergeCell ref="A2:D2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0" customWidth="1" min="3" max="3"/>
    <col width="42" customWidth="1" min="4" max="4"/>
  </cols>
  <sheetData>
    <row r="1" ht="22" customHeight="1">
      <c r="A1" s="1" t="inlineStr">
        <is>
          <t>Барнхаус 10.5×6 — исходные данные</t>
        </is>
      </c>
    </row>
    <row r="2" ht="32" customHeight="1">
      <c r="A2" s="2" t="inlineStr">
        <is>
          <t>Отапливаемый контур А–Г. Терраса Г–Д в расчёты отделки не входит. Цены — ориентир Петрович/Valtec, сентябрь 2026, без работ.</t>
        </is>
      </c>
    </row>
    <row r="4">
      <c r="A4" s="3" t="inlineStr">
        <is>
          <t>Параметр</t>
        </is>
      </c>
      <c r="B4" s="3" t="inlineStr">
        <is>
          <t>Значение</t>
        </is>
      </c>
      <c r="C4" s="3" t="inlineStr">
        <is>
          <t>Ед.</t>
        </is>
      </c>
      <c r="D4" s="3" t="inlineStr">
        <is>
          <t>Комментарий</t>
        </is>
      </c>
    </row>
    <row r="5">
      <c r="A5" s="12" t="inlineStr">
        <is>
          <t>Габарит наружный с террасой</t>
        </is>
      </c>
      <c r="B5" s="29" t="n">
        <v>10.5</v>
      </c>
      <c r="C5" s="12" t="inlineStr">
        <is>
          <t>м</t>
        </is>
      </c>
      <c r="D5" s="12" t="inlineStr">
        <is>
          <t>оси А–Д × 6.0 м</t>
        </is>
      </c>
    </row>
    <row r="6">
      <c r="A6" s="7" t="inlineStr">
        <is>
          <t>Отапливаемая длина А–Г</t>
        </is>
      </c>
      <c r="B6" s="30" t="n">
        <v>8.949999999999999</v>
      </c>
      <c r="C6" s="7" t="inlineStr">
        <is>
          <t>м</t>
        </is>
      </c>
      <c r="D6" s="7" t="inlineStr">
        <is>
          <t>без террасы 1.55 м</t>
        </is>
      </c>
    </row>
    <row r="7">
      <c r="A7" s="12" t="inlineStr">
        <is>
          <t>Ширина наружная</t>
        </is>
      </c>
      <c r="B7" s="29" t="n">
        <v>6</v>
      </c>
      <c r="C7" s="12" t="inlineStr">
        <is>
          <t>м</t>
        </is>
      </c>
      <c r="D7" s="12" t="inlineStr"/>
    </row>
    <row r="8">
      <c r="A8" s="7" t="inlineStr">
        <is>
          <t>Ширина внутренняя</t>
        </is>
      </c>
      <c r="B8" s="30" t="n">
        <v>5.5</v>
      </c>
      <c r="C8" s="7" t="inlineStr">
        <is>
          <t>м</t>
        </is>
      </c>
      <c r="D8" s="7" t="inlineStr">
        <is>
          <t>стены 250 мм</t>
        </is>
      </c>
    </row>
    <row r="9">
      <c r="A9" s="12" t="inlineStr">
        <is>
          <t>Длина внутренняя А–Г</t>
        </is>
      </c>
      <c r="B9" s="29" t="n">
        <v>8.449999999999999</v>
      </c>
      <c r="C9" s="12" t="inlineStr">
        <is>
          <t>м</t>
        </is>
      </c>
      <c r="D9" s="12" t="inlineStr"/>
    </row>
    <row r="10">
      <c r="A10" s="7" t="inlineStr">
        <is>
          <t>Высота карниза</t>
        </is>
      </c>
      <c r="B10" s="30" t="n">
        <v>2.615</v>
      </c>
      <c r="C10" s="7" t="inlineStr">
        <is>
          <t>м</t>
        </is>
      </c>
      <c r="D10" s="7" t="inlineStr">
        <is>
          <t>от чистого пола</t>
        </is>
      </c>
    </row>
    <row r="11">
      <c r="A11" s="12" t="inlineStr">
        <is>
          <t>Высота конька (кровля)</t>
        </is>
      </c>
      <c r="B11" s="29" t="n">
        <v>4.042</v>
      </c>
      <c r="C11" s="12" t="inlineStr">
        <is>
          <t>м</t>
        </is>
      </c>
      <c r="D11" s="12" t="inlineStr">
        <is>
          <t>по фасаду</t>
        </is>
      </c>
    </row>
    <row r="12">
      <c r="A12" s="7" t="inlineStr">
        <is>
          <t>Высота конька внутри</t>
        </is>
      </c>
      <c r="B12" s="30" t="n">
        <v>3.897</v>
      </c>
      <c r="C12" s="7" t="inlineStr">
        <is>
          <t>м</t>
        </is>
      </c>
      <c r="D12" s="7" t="inlineStr">
        <is>
          <t>2.615 + 2.75·tg25°</t>
        </is>
      </c>
    </row>
    <row r="13">
      <c r="A13" s="12" t="inlineStr">
        <is>
          <t>Уклон кровли</t>
        </is>
      </c>
      <c r="B13" s="31" t="n">
        <v>25</v>
      </c>
      <c r="C13" s="12" t="inlineStr">
        <is>
          <t>°</t>
        </is>
      </c>
      <c r="D13" s="12" t="inlineStr">
        <is>
          <t>двускатная, конёк вдоль длинной оси</t>
        </is>
      </c>
    </row>
    <row r="14">
      <c r="A14" s="7" t="inlineStr">
        <is>
          <t>Площадь пола отапливаемая</t>
        </is>
      </c>
      <c r="B14" s="30" t="n">
        <v>45.31</v>
      </c>
      <c r="C14" s="7" t="inlineStr">
        <is>
          <t>м²</t>
        </is>
      </c>
      <c r="D14" s="7" t="inlineStr">
        <is>
          <t>по ведомости помещений</t>
        </is>
      </c>
    </row>
    <row r="15">
      <c r="A15" s="12" t="inlineStr">
        <is>
          <t>Площадь жилых комнат (без с/у)</t>
        </is>
      </c>
      <c r="B15" s="29" t="n">
        <v>41.72</v>
      </c>
      <c r="C15" s="12" t="inlineStr">
        <is>
          <t>м²</t>
        </is>
      </c>
      <c r="D15" s="12" t="inlineStr">
        <is>
          <t>под МДФ-панели</t>
        </is>
      </c>
    </row>
    <row r="16">
      <c r="A16" s="7" t="inlineStr">
        <is>
          <t>Площадь с/у</t>
        </is>
      </c>
      <c r="B16" s="30" t="n">
        <v>3.59</v>
      </c>
      <c r="C16" s="7" t="inlineStr">
        <is>
          <t>м²</t>
        </is>
      </c>
      <c r="D16" s="7" t="inlineStr">
        <is>
          <t>плитка</t>
        </is>
      </c>
    </row>
    <row r="17">
      <c r="A17" s="12" t="inlineStr">
        <is>
          <t>Терраса — не считаем</t>
        </is>
      </c>
      <c r="B17" s="29" t="n">
        <v>9.119999999999999</v>
      </c>
      <c r="C17" s="12" t="inlineStr">
        <is>
          <t>м²</t>
        </is>
      </c>
      <c r="D17" s="12" t="inlineStr">
        <is>
          <t>не трогаем</t>
        </is>
      </c>
    </row>
    <row r="18">
      <c r="A18" s="7" t="inlineStr">
        <is>
          <t>Толщина нар. стен</t>
        </is>
      </c>
      <c r="B18" s="30" t="n">
        <v>0.25</v>
      </c>
      <c r="C18" s="7" t="inlineStr">
        <is>
          <t>м</t>
        </is>
      </c>
      <c r="D18" s="7" t="inlineStr">
        <is>
          <t>уже утеплены + плёнка</t>
        </is>
      </c>
    </row>
    <row r="19">
      <c r="A19" s="12" t="inlineStr">
        <is>
          <t>Толщина перегородок</t>
        </is>
      </c>
      <c r="B19" s="29" t="n">
        <v>0.11</v>
      </c>
      <c r="C19" s="12" t="inlineStr">
        <is>
          <t>м</t>
        </is>
      </c>
      <c r="D19" s="12" t="inlineStr">
        <is>
          <t>каркасы стоят</t>
        </is>
      </c>
    </row>
    <row r="21">
      <c r="A21" s="32" t="inlineStr">
        <is>
          <t>Что уже есть — в смету НЕ входит</t>
        </is>
      </c>
    </row>
    <row r="22">
      <c r="A22" s="33" t="inlineStr">
        <is>
          <t>Окна (ОК-1, ОК-1а, ОК-2, ОК-3, ОК-3а, ОК-4, ОК-5, ОК-6) — установлены</t>
        </is>
      </c>
    </row>
    <row r="23">
      <c r="A23" s="33" t="inlineStr">
        <is>
          <t>Двери: входная ДН-4 стекло и внутренние ДВ-1, ДВ-2, ДВ-3 — установлены</t>
        </is>
      </c>
    </row>
    <row r="24">
      <c r="A24" s="33" t="inlineStr">
        <is>
          <t>Все наружные стены утеплены и зашиты пароизоляционной плёнкой</t>
        </is>
      </c>
    </row>
    <row r="25">
      <c r="A25" s="33" t="inlineStr">
        <is>
          <t>Полы утеплены и зашиты плёнкой</t>
        </is>
      </c>
    </row>
    <row r="26">
      <c r="A26" s="33" t="inlineStr">
        <is>
          <t>Потолки (скаты) утеплены и зашиты плёнкой</t>
        </is>
      </c>
    </row>
    <row r="27">
      <c r="A27" s="33" t="inlineStr">
        <is>
          <t>Каркасы внутренних перегородок стоят</t>
        </is>
      </c>
    </row>
    <row r="28">
      <c r="A28" s="33" t="inlineStr">
        <is>
          <t>Терраса — не трогаем (ни пол, ни стены, ни кровля, ни ограждение)</t>
        </is>
      </c>
    </row>
    <row r="30">
      <c r="A30" s="32" t="inlineStr">
        <is>
          <t>Что считаем в смете (материалы, без работ)</t>
        </is>
      </c>
    </row>
    <row r="31">
      <c r="A31" s="34" t="inlineStr">
        <is>
          <t>Заполнение перегородок минватой; МДФ сразу на обрешётку каркаса. ГВЛВ только в с/у под плитку</t>
        </is>
      </c>
    </row>
    <row r="32">
      <c r="A32" s="34" t="inlineStr">
        <is>
          <t>Обрешётка + МДФ-панели дуб альпийский 2600×238×6 по жилым стенам и скатным потолкам (без с/у)</t>
        </is>
      </c>
    </row>
    <row r="33">
      <c r="A33" s="34" t="inlineStr">
        <is>
          <t>Сухой тёплый пол VT.FP.SZ по всему отапливаемому дому, включая с/у</t>
        </is>
      </c>
    </row>
    <row r="34">
      <c r="A34" s="34" t="inlineStr">
        <is>
          <t>Пирог пола: OSB-3 22 мм → пластины ТП → OSB-3 12 мм → подложка → ламинат; в с/у ГВЛВ + плитка</t>
        </is>
      </c>
    </row>
    <row r="35">
      <c r="A35" s="34" t="inlineStr">
        <is>
          <t>С/у: ГВЛВ, гидроизоляция, плитка стен и пола, сантехника, вентилятор</t>
        </is>
      </c>
    </row>
    <row r="36">
      <c r="A36" s="34" t="inlineStr">
        <is>
          <t>Отопление: труба, коллектор, насосная группа, электрокотёл</t>
        </is>
      </c>
    </row>
    <row r="37">
      <c r="A37" s="34" t="inlineStr">
        <is>
          <t>Водоснабжение, канализация, водонагреватель</t>
        </is>
      </c>
    </row>
    <row r="38">
      <c r="A38" s="34" t="inlineStr">
        <is>
          <t>Электрика под ключ, свет, вентиляция с/у</t>
        </is>
      </c>
    </row>
    <row r="39">
      <c r="A39" s="34" t="inlineStr">
        <is>
          <t>Плинтус и уголки в цвет МДФ, расходники (панели уже с покрытием, лак не нужен)</t>
        </is>
      </c>
    </row>
  </sheetData>
  <autoFilter ref="A4:D19"/>
  <mergeCells count="20">
    <mergeCell ref="A23:D23"/>
    <mergeCell ref="A22:D22"/>
    <mergeCell ref="A35:D35"/>
    <mergeCell ref="A38:D38"/>
    <mergeCell ref="A28:D28"/>
    <mergeCell ref="A31:D31"/>
    <mergeCell ref="A34:D34"/>
    <mergeCell ref="A30:D30"/>
    <mergeCell ref="A39:D39"/>
    <mergeCell ref="A24:D24"/>
    <mergeCell ref="A36:D36"/>
    <mergeCell ref="A1:D1"/>
    <mergeCell ref="A25:D25"/>
    <mergeCell ref="A37:D37"/>
    <mergeCell ref="A27:D27"/>
    <mergeCell ref="A26:D26"/>
    <mergeCell ref="A21:D21"/>
    <mergeCell ref="A2:D2"/>
    <mergeCell ref="A33:D33"/>
    <mergeCell ref="A32:D32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2" customWidth="1" min="4" max="4"/>
    <col width="14" customWidth="1" min="5" max="5"/>
    <col width="36" customWidth="1" min="6" max="6"/>
  </cols>
  <sheetData>
    <row r="1" ht="22" customHeight="1">
      <c r="A1" s="1" t="inlineStr">
        <is>
          <t>Ведомость помещений</t>
        </is>
      </c>
    </row>
    <row r="2" ht="32" customHeight="1">
      <c r="A2" s="2" t="inlineStr">
        <is>
          <t>Площади пола по чертежу. Потолок скатный = пол / cos25°.</t>
        </is>
      </c>
    </row>
    <row r="4">
      <c r="A4" s="3" t="inlineStr">
        <is>
          <t>Помещение</t>
        </is>
      </c>
      <c r="B4" s="3" t="inlineStr">
        <is>
          <t>Тип</t>
        </is>
      </c>
      <c r="C4" s="3" t="inlineStr">
        <is>
          <t>Пол, м²</t>
        </is>
      </c>
      <c r="D4" s="3" t="inlineStr">
        <is>
          <t>Потолок скатный, м²</t>
        </is>
      </c>
      <c r="E4" s="3" t="inlineStr">
        <is>
          <t>Тёплый пол</t>
        </is>
      </c>
      <c r="F4" s="3" t="inlineStr">
        <is>
          <t>Финиш стен / потолка</t>
        </is>
      </c>
    </row>
    <row r="5">
      <c r="A5" s="12" t="inlineStr">
        <is>
          <t>Спальня 1</t>
        </is>
      </c>
      <c r="B5" s="11" t="inlineStr">
        <is>
          <t>жилая</t>
        </is>
      </c>
      <c r="C5" s="13" t="n">
        <v>9.210000000000001</v>
      </c>
      <c r="D5" s="13">
        <f>C5/COS(RADIANS(25))</f>
        <v/>
      </c>
      <c r="E5" s="11" t="inlineStr">
        <is>
          <t>да</t>
        </is>
      </c>
      <c r="F5" s="12" t="inlineStr">
        <is>
          <t>МДФ дуб альпийский / МДФ</t>
        </is>
      </c>
    </row>
    <row r="6">
      <c r="A6" s="7" t="inlineStr">
        <is>
          <t>Спальня 2</t>
        </is>
      </c>
      <c r="B6" s="6" t="inlineStr">
        <is>
          <t>жилая</t>
        </is>
      </c>
      <c r="C6" s="8" t="n">
        <v>9.210000000000001</v>
      </c>
      <c r="D6" s="8">
        <f>C6/COS(RADIANS(25))</f>
        <v/>
      </c>
      <c r="E6" s="6" t="inlineStr">
        <is>
          <t>да</t>
        </is>
      </c>
      <c r="F6" s="7" t="inlineStr">
        <is>
          <t>МДФ дуб альпийский / МДФ</t>
        </is>
      </c>
    </row>
    <row r="7">
      <c r="A7" s="12" t="inlineStr">
        <is>
          <t>Кухня-гостиная</t>
        </is>
      </c>
      <c r="B7" s="11" t="inlineStr">
        <is>
          <t>жилая</t>
        </is>
      </c>
      <c r="C7" s="13" t="n">
        <v>20.29</v>
      </c>
      <c r="D7" s="13">
        <f>C7/COS(RADIANS(25))</f>
        <v/>
      </c>
      <c r="E7" s="11" t="inlineStr">
        <is>
          <t>да</t>
        </is>
      </c>
      <c r="F7" s="12" t="inlineStr">
        <is>
          <t>МДФ дуб альпийский / МДФ</t>
        </is>
      </c>
    </row>
    <row r="8">
      <c r="A8" s="7" t="inlineStr">
        <is>
          <t>Прихожая</t>
        </is>
      </c>
      <c r="B8" s="6" t="inlineStr">
        <is>
          <t>жилая</t>
        </is>
      </c>
      <c r="C8" s="8" t="n">
        <v>3.01</v>
      </c>
      <c r="D8" s="8">
        <f>C8/COS(RADIANS(25))</f>
        <v/>
      </c>
      <c r="E8" s="6" t="inlineStr">
        <is>
          <t>да</t>
        </is>
      </c>
      <c r="F8" s="7" t="inlineStr">
        <is>
          <t>МДФ дуб альпийский / МДФ</t>
        </is>
      </c>
    </row>
    <row r="9">
      <c r="A9" s="12" t="inlineStr">
        <is>
          <t>С/у</t>
        </is>
      </c>
      <c r="B9" s="11" t="inlineStr">
        <is>
          <t>мокрый</t>
        </is>
      </c>
      <c r="C9" s="13" t="n">
        <v>3.59</v>
      </c>
      <c r="D9" s="13">
        <f>C9/COS(RADIANS(25))</f>
        <v/>
      </c>
      <c r="E9" s="11" t="inlineStr">
        <is>
          <t>да</t>
        </is>
      </c>
      <c r="F9" s="12" t="inlineStr">
        <is>
          <t>плитка / влагостойкий потолок</t>
        </is>
      </c>
    </row>
    <row r="10">
      <c r="A10" s="35" t="inlineStr">
        <is>
          <t>Терраса</t>
        </is>
      </c>
      <c r="B10" s="35" t="inlineStr">
        <is>
          <t>улица</t>
        </is>
      </c>
      <c r="C10" s="35" t="n">
        <v>9.119999999999999</v>
      </c>
      <c r="D10" s="35" t="inlineStr">
        <is>
          <t>—</t>
        </is>
      </c>
      <c r="E10" s="35" t="inlineStr">
        <is>
          <t>нет / не трогаем</t>
        </is>
      </c>
      <c r="F10" s="35" t="inlineStr">
        <is>
          <t>не трогаем</t>
        </is>
      </c>
    </row>
    <row r="11">
      <c r="A11" s="16" t="inlineStr">
        <is>
          <t>Итого отапливаемые</t>
        </is>
      </c>
      <c r="B11" s="16" t="n"/>
      <c r="C11" s="36">
        <f>SUM(C5:C9)</f>
        <v/>
      </c>
      <c r="D11" s="36">
        <f>SUM(D5:D9)</f>
        <v/>
      </c>
      <c r="E11" s="16" t="n"/>
      <c r="F11" s="16" t="n"/>
    </row>
    <row r="13">
      <c r="A13" s="37" t="inlineStr">
        <is>
          <t>Примечание</t>
        </is>
      </c>
    </row>
    <row r="14">
      <c r="A14" s="28" t="inlineStr">
        <is>
          <t>Площади пола — из ведомости помещений чертежа (сумма 45.31 м²). Потолок барнхауса двускатный 25°: площадь потолка = площадь пола / cos25° ≈ ×1.103. Терраса 9.12 м² в отделку и тёплый пол не входит.</t>
        </is>
      </c>
    </row>
    <row r="15"/>
    <row r="16"/>
  </sheetData>
  <mergeCells count="3">
    <mergeCell ref="A14:F16"/>
    <mergeCell ref="A2:F2"/>
    <mergeCell ref="A1:F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32" customWidth="1" min="5" max="5"/>
    <col width="16" customWidth="1" min="6" max="6"/>
    <col width="16" customWidth="1" min="7" max="7"/>
  </cols>
  <sheetData>
    <row r="1" ht="22" customHeight="1">
      <c r="A1" s="1" t="inlineStr">
        <is>
          <t>Полы — площади и пирог</t>
        </is>
      </c>
    </row>
    <row r="2" ht="32" customHeight="1">
      <c r="A2" s="2" t="inlineStr">
        <is>
          <t>Утеплитель и плёнка уже лежат. Ламинат не на пластины: нужен сплошной настил.</t>
        </is>
      </c>
    </row>
    <row r="4">
      <c r="A4" s="3" t="inlineStr">
        <is>
          <t>Помещение</t>
        </is>
      </c>
      <c r="B4" s="3" t="inlineStr">
        <is>
          <t>Площадь, м²</t>
        </is>
      </c>
      <c r="C4" s="3" t="inlineStr">
        <is>
          <t>Отопление пола</t>
        </is>
      </c>
      <c r="D4" s="3" t="inlineStr">
        <is>
          <t>Шаг трубы, мм</t>
        </is>
      </c>
      <c r="E4" s="3" t="inlineStr">
        <is>
          <t>Финиш</t>
        </is>
      </c>
      <c r="F4" s="3" t="inlineStr">
        <is>
          <t>Запас финиша, %</t>
        </is>
      </c>
      <c r="G4" s="3" t="inlineStr">
        <is>
          <t>К закупке, м²</t>
        </is>
      </c>
    </row>
    <row r="5">
      <c r="A5" s="12" t="inlineStr">
        <is>
          <t>Спальня 1</t>
        </is>
      </c>
      <c r="B5" s="13" t="n">
        <v>9.210000000000001</v>
      </c>
      <c r="C5" s="11" t="inlineStr">
        <is>
          <t>да</t>
        </is>
      </c>
      <c r="D5" s="21" t="n">
        <v>125</v>
      </c>
      <c r="E5" s="12" t="inlineStr">
        <is>
          <t>ламинат 33 кл. / SPC на ТП</t>
        </is>
      </c>
      <c r="F5" s="21" t="n">
        <v>10</v>
      </c>
      <c r="G5" s="13">
        <f>B5*(1+F5/100)</f>
        <v/>
      </c>
    </row>
    <row r="6">
      <c r="A6" s="7" t="inlineStr">
        <is>
          <t>Спальня 2</t>
        </is>
      </c>
      <c r="B6" s="8" t="n">
        <v>9.210000000000001</v>
      </c>
      <c r="C6" s="6" t="inlineStr">
        <is>
          <t>да</t>
        </is>
      </c>
      <c r="D6" s="23" t="n">
        <v>125</v>
      </c>
      <c r="E6" s="7" t="inlineStr">
        <is>
          <t>ламинат 33 кл. / SPC на ТП</t>
        </is>
      </c>
      <c r="F6" s="23" t="n">
        <v>10</v>
      </c>
      <c r="G6" s="8">
        <f>B6*(1+F6/100)</f>
        <v/>
      </c>
    </row>
    <row r="7">
      <c r="A7" s="12" t="inlineStr">
        <is>
          <t>Кухня-гостиная</t>
        </is>
      </c>
      <c r="B7" s="13" t="n">
        <v>20.29</v>
      </c>
      <c r="C7" s="11" t="inlineStr">
        <is>
          <t>да</t>
        </is>
      </c>
      <c r="D7" s="21" t="n">
        <v>125</v>
      </c>
      <c r="E7" s="12" t="inlineStr">
        <is>
          <t>ламинат 33 кл. / SPC на ТП</t>
        </is>
      </c>
      <c r="F7" s="21" t="n">
        <v>10</v>
      </c>
      <c r="G7" s="13">
        <f>B7*(1+F7/100)</f>
        <v/>
      </c>
    </row>
    <row r="8">
      <c r="A8" s="7" t="inlineStr">
        <is>
          <t>Прихожая</t>
        </is>
      </c>
      <c r="B8" s="8" t="n">
        <v>3.01</v>
      </c>
      <c r="C8" s="6" t="inlineStr">
        <is>
          <t>да</t>
        </is>
      </c>
      <c r="D8" s="23" t="n">
        <v>125</v>
      </c>
      <c r="E8" s="7" t="inlineStr">
        <is>
          <t>ламинат 33 кл. / SPC на ТП</t>
        </is>
      </c>
      <c r="F8" s="23" t="n">
        <v>10</v>
      </c>
      <c r="G8" s="8">
        <f>B8*(1+F8/100)</f>
        <v/>
      </c>
    </row>
    <row r="9">
      <c r="A9" s="12" t="inlineStr">
        <is>
          <t>С/у</t>
        </is>
      </c>
      <c r="B9" s="13" t="n">
        <v>3.59</v>
      </c>
      <c r="C9" s="11" t="inlineStr">
        <is>
          <t>да</t>
        </is>
      </c>
      <c r="D9" s="21" t="n">
        <v>125</v>
      </c>
      <c r="E9" s="12" t="inlineStr">
        <is>
          <t>плитка керамогранит</t>
        </is>
      </c>
      <c r="F9" s="21" t="n">
        <v>12</v>
      </c>
      <c r="G9" s="13">
        <f>B9*(1+F9/100)</f>
        <v/>
      </c>
    </row>
    <row r="10">
      <c r="A10" s="16" t="inlineStr">
        <is>
          <t>Итого отапливаемые полы</t>
        </is>
      </c>
      <c r="B10" s="36">
        <f>SUM(B5:B9)</f>
        <v/>
      </c>
      <c r="C10" s="16" t="n"/>
      <c r="D10" s="16" t="n"/>
      <c r="E10" s="16" t="n"/>
      <c r="F10" s="16" t="n"/>
      <c r="G10" s="36">
        <f>SUM(G5:G9)</f>
        <v/>
      </c>
    </row>
    <row r="12">
      <c r="A12" s="37" t="inlineStr">
        <is>
          <t>Ламинат / SPC (жилые)</t>
        </is>
      </c>
      <c r="B12" s="38">
        <f>G5+G6+G7+G8</f>
        <v/>
      </c>
    </row>
    <row r="13">
      <c r="A13" s="37" t="inlineStr">
        <is>
          <t>Плитка пола с/у</t>
        </is>
      </c>
      <c r="B13" s="38">
        <f>G9</f>
        <v/>
      </c>
    </row>
    <row r="15">
      <c r="A15" s="28" t="inlineStr">
        <is>
          <t>Пирог дальше уже сделанного (лаги + утеплитель + плёнка):
1) Черновой настил OSB-3 22 мм по лагам — если под плёнкой ещё дырки между лагами. Если черновой пол уже лежит — эту строку в смете обнулить.
2) Пластины VT.FP.SZ + труба 16 мм (вкладка Теплый_пол).
3) Второй слой OSB-3 12 мм поверх пластин в жилых — на НЕГО кладётся тонкая подложка и ламинат. Фанера не нужна: OSB дешевле и тот же сплошной щит. Прямо на пластины ламинат нельзя.
4) В с/у поверх труб — 2 слоя ГВЛВ 10 мм, затем гидроизоляция и плитка.
5) Подложка под ламинат только 1–2 мм «для ТП», без толстой пробки.</t>
        </is>
      </c>
    </row>
    <row r="16"/>
    <row r="17"/>
    <row r="18"/>
    <row r="19"/>
    <row r="20"/>
    <row r="21"/>
    <row r="22"/>
  </sheetData>
  <mergeCells count="3">
    <mergeCell ref="A15:G22"/>
    <mergeCell ref="A2:G2"/>
    <mergeCell ref="A1:G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20" customWidth="1" min="4" max="4"/>
    <col width="14" customWidth="1" min="5" max="5"/>
    <col width="16" customWidth="1" min="6" max="6"/>
    <col width="12" customWidth="1" min="7" max="7"/>
    <col width="36" customWidth="1" min="8" max="8"/>
  </cols>
  <sheetData>
    <row r="1" ht="22" customHeight="1">
      <c r="A1" s="1" t="inlineStr">
        <is>
          <t>Стены — развёртка внутренних поверхностей</t>
        </is>
      </c>
    </row>
    <row r="2" ht="32" customHeight="1">
      <c r="A2" s="2" t="inlineStr">
        <is>
          <t>Нар. стены уже с плёнкой: только отделка. Перегородки: каркас стоит, нужны заполнение, обшивка и отделка. Проёмы вычтены.</t>
        </is>
      </c>
    </row>
    <row r="4">
      <c r="A4" s="3" t="inlineStr">
        <is>
          <t>Участок</t>
        </is>
      </c>
      <c r="B4" s="3" t="inlineStr">
        <is>
          <t>Конструкция</t>
        </is>
      </c>
      <c r="C4" s="3" t="inlineStr">
        <is>
          <t>Зона</t>
        </is>
      </c>
      <c r="D4" s="3" t="inlineStr">
        <is>
          <t>Грязная площадь, м²</t>
        </is>
      </c>
      <c r="E4" s="3" t="inlineStr">
        <is>
          <t>Проёмы, м²</t>
        </is>
      </c>
      <c r="F4" s="3" t="inlineStr">
        <is>
          <t>К отделке, м²</t>
        </is>
      </c>
      <c r="G4" s="3" t="inlineStr">
        <is>
          <t>Отделка</t>
        </is>
      </c>
      <c r="H4" s="3" t="inlineStr">
        <is>
          <t>Примечание</t>
        </is>
      </c>
    </row>
    <row r="5">
      <c r="A5" s="12" t="inlineStr">
        <is>
          <t>Север, спальни, внутреннее лицо фронтона</t>
        </is>
      </c>
      <c r="B5" s="12" t="inlineStr">
        <is>
          <t>нар. стена</t>
        </is>
      </c>
      <c r="C5" s="12" t="inlineStr">
        <is>
          <t>жилая</t>
        </is>
      </c>
      <c r="D5" s="39" t="n">
        <v>17.909</v>
      </c>
      <c r="E5" s="39" t="n">
        <v>5.04</v>
      </c>
      <c r="F5" s="39">
        <f>D5-E5</f>
        <v/>
      </c>
      <c r="G5" s="12" t="inlineStr">
        <is>
          <t>МДФ</t>
        </is>
      </c>
      <c r="H5" s="12" t="inlineStr">
        <is>
          <t>минус два ОК-4</t>
        </is>
      </c>
    </row>
    <row r="6">
      <c r="A6" s="7" t="inlineStr">
        <is>
          <t>Юг, гостиная/холл, внутреннее лицо фронтона</t>
        </is>
      </c>
      <c r="B6" s="7" t="inlineStr">
        <is>
          <t>нар. стена</t>
        </is>
      </c>
      <c r="C6" s="7" t="inlineStr">
        <is>
          <t>жилая</t>
        </is>
      </c>
      <c r="D6" s="40" t="n">
        <v>17.909</v>
      </c>
      <c r="E6" s="40" t="n">
        <v>14.471</v>
      </c>
      <c r="F6" s="40">
        <f>D6-E6</f>
        <v/>
      </c>
      <c r="G6" s="7" t="inlineStr">
        <is>
          <t>МДФ</t>
        </is>
      </c>
      <c r="H6" s="7" t="inlineStr">
        <is>
          <t>минус остекление торца и ДН-4</t>
        </is>
      </c>
    </row>
    <row r="7">
      <c r="A7" s="12" t="inlineStr">
        <is>
          <t>Восток, длинная стена</t>
        </is>
      </c>
      <c r="B7" s="12" t="inlineStr">
        <is>
          <t>нар. стена</t>
        </is>
      </c>
      <c r="C7" s="12" t="inlineStr">
        <is>
          <t>жилая</t>
        </is>
      </c>
      <c r="D7" s="39" t="n">
        <v>22.097</v>
      </c>
      <c r="E7" s="39" t="n">
        <v>0</v>
      </c>
      <c r="F7" s="39">
        <f>D7-E7</f>
        <v/>
      </c>
      <c r="G7" s="12" t="inlineStr">
        <is>
          <t>МДФ</t>
        </is>
      </c>
      <c r="H7" s="12" t="inlineStr">
        <is>
          <t>высота карниза 2.615</t>
        </is>
      </c>
    </row>
    <row r="8">
      <c r="A8" s="7" t="inlineStr">
        <is>
          <t>Запад, спальня 1</t>
        </is>
      </c>
      <c r="B8" s="7" t="inlineStr">
        <is>
          <t>нар. стена</t>
        </is>
      </c>
      <c r="C8" s="7" t="inlineStr">
        <is>
          <t>жилая</t>
        </is>
      </c>
      <c r="D8" s="40" t="n">
        <v>8.936999999999999</v>
      </c>
      <c r="E8" s="40" t="n">
        <v>0</v>
      </c>
      <c r="F8" s="40">
        <f>D8-E8</f>
        <v/>
      </c>
      <c r="G8" s="7" t="inlineStr">
        <is>
          <t>МДФ</t>
        </is>
      </c>
      <c r="H8" s="7" t="inlineStr"/>
    </row>
    <row r="9">
      <c r="A9" s="12" t="inlineStr">
        <is>
          <t>Запад, гостиная</t>
        </is>
      </c>
      <c r="B9" s="12" t="inlineStr">
        <is>
          <t>нар. стена</t>
        </is>
      </c>
      <c r="C9" s="12" t="inlineStr">
        <is>
          <t>жилая</t>
        </is>
      </c>
      <c r="D9" s="39" t="n">
        <v>5.472</v>
      </c>
      <c r="E9" s="39" t="n">
        <v>0</v>
      </c>
      <c r="F9" s="39">
        <f>D9-E9</f>
        <v/>
      </c>
      <c r="G9" s="12" t="inlineStr">
        <is>
          <t>МДФ</t>
        </is>
      </c>
      <c r="H9" s="12" t="inlineStr">
        <is>
          <t>южнее с/у</t>
        </is>
      </c>
    </row>
    <row r="10">
      <c r="A10" s="7" t="inlineStr">
        <is>
          <t>Перегородка спален, обе стороны</t>
        </is>
      </c>
      <c r="B10" s="7" t="inlineStr">
        <is>
          <t>перегородка</t>
        </is>
      </c>
      <c r="C10" s="7" t="inlineStr">
        <is>
          <t>жилая</t>
        </is>
      </c>
      <c r="D10" s="40" t="n">
        <v>26.638</v>
      </c>
      <c r="E10" s="40" t="n">
        <v>0</v>
      </c>
      <c r="F10" s="40">
        <f>D10-E10</f>
        <v/>
      </c>
      <c r="G10" s="7" t="inlineStr">
        <is>
          <t>МДФ</t>
        </is>
      </c>
      <c r="H10" s="7" t="inlineStr">
        <is>
          <t>по коньку, h≈3.90</t>
        </is>
      </c>
    </row>
    <row r="11">
      <c r="A11" s="12" t="inlineStr">
        <is>
          <t>Перегородка спальни/зал, сторона спален</t>
        </is>
      </c>
      <c r="B11" s="12" t="inlineStr">
        <is>
          <t>перегородка</t>
        </is>
      </c>
      <c r="C11" s="12" t="inlineStr">
        <is>
          <t>жилая</t>
        </is>
      </c>
      <c r="D11" s="39" t="n">
        <v>17.909</v>
      </c>
      <c r="E11" s="39" t="n">
        <v>3.36</v>
      </c>
      <c r="F11" s="39">
        <f>D11-E11</f>
        <v/>
      </c>
      <c r="G11" s="12" t="inlineStr">
        <is>
          <t>МДФ</t>
        </is>
      </c>
      <c r="H11" s="12" t="inlineStr">
        <is>
          <t>минус ДВ-2, ДВ-3</t>
        </is>
      </c>
    </row>
    <row r="12">
      <c r="A12" s="7" t="inlineStr">
        <is>
          <t>Перегородка спальни/зал, сторона зала</t>
        </is>
      </c>
      <c r="B12" s="7" t="inlineStr">
        <is>
          <t>перегородка</t>
        </is>
      </c>
      <c r="C12" s="7" t="inlineStr">
        <is>
          <t>жилая</t>
        </is>
      </c>
      <c r="D12" s="40" t="n">
        <v>14.051</v>
      </c>
      <c r="E12" s="40" t="n">
        <v>3.36</v>
      </c>
      <c r="F12" s="40">
        <f>D12-E12</f>
        <v/>
      </c>
      <c r="G12" s="7" t="inlineStr">
        <is>
          <t>МДФ</t>
        </is>
      </c>
      <c r="H12" s="7" t="inlineStr">
        <is>
          <t>без участка с/у</t>
        </is>
      </c>
    </row>
    <row r="13">
      <c r="A13" s="12" t="inlineStr">
        <is>
          <t>Стенка с/у, сторона зала</t>
        </is>
      </c>
      <c r="B13" s="12" t="inlineStr">
        <is>
          <t>перегородка</t>
        </is>
      </c>
      <c r="C13" s="12" t="inlineStr">
        <is>
          <t>жилая</t>
        </is>
      </c>
      <c r="D13" s="39" t="n">
        <v>8.787000000000001</v>
      </c>
      <c r="E13" s="39" t="n">
        <v>1.47</v>
      </c>
      <c r="F13" s="39">
        <f>D13-E13</f>
        <v/>
      </c>
      <c r="G13" s="12" t="inlineStr">
        <is>
          <t>МДФ</t>
        </is>
      </c>
      <c r="H13" s="12" t="inlineStr">
        <is>
          <t>минус ДВ-1</t>
        </is>
      </c>
    </row>
    <row r="14">
      <c r="A14" s="7" t="inlineStr">
        <is>
          <t>Стенка с/у, сторона кухни</t>
        </is>
      </c>
      <c r="B14" s="7" t="inlineStr">
        <is>
          <t>перегородка</t>
        </is>
      </c>
      <c r="C14" s="7" t="inlineStr">
        <is>
          <t>жилая</t>
        </is>
      </c>
      <c r="D14" s="40" t="n">
        <v>3.858</v>
      </c>
      <c r="E14" s="40" t="n">
        <v>0</v>
      </c>
      <c r="F14" s="40">
        <f>D14-E14</f>
        <v/>
      </c>
      <c r="G14" s="7" t="inlineStr">
        <is>
          <t>МДФ</t>
        </is>
      </c>
      <c r="H14" s="7" t="inlineStr"/>
    </row>
    <row r="15">
      <c r="A15" s="12" t="inlineStr">
        <is>
          <t>С/у запад (карниз)</t>
        </is>
      </c>
      <c r="B15" s="12" t="inlineStr">
        <is>
          <t>нар. стена</t>
        </is>
      </c>
      <c r="C15" s="12" t="inlineStr">
        <is>
          <t>мокрый</t>
        </is>
      </c>
      <c r="D15" s="39" t="n">
        <v>7.113</v>
      </c>
      <c r="E15" s="39" t="n">
        <v>0.49</v>
      </c>
      <c r="F15" s="39">
        <f>D15-E15</f>
        <v/>
      </c>
      <c r="G15" s="12" t="inlineStr">
        <is>
          <t>плитка</t>
        </is>
      </c>
      <c r="H15" s="12" t="inlineStr">
        <is>
          <t>минус ОК-2</t>
        </is>
      </c>
    </row>
    <row r="16">
      <c r="A16" s="7" t="inlineStr">
        <is>
          <t>С/у восток</t>
        </is>
      </c>
      <c r="B16" s="7" t="inlineStr">
        <is>
          <t>перегородка</t>
        </is>
      </c>
      <c r="C16" s="7" t="inlineStr">
        <is>
          <t>мокрый</t>
        </is>
      </c>
      <c r="D16" s="40" t="n">
        <v>8.787000000000001</v>
      </c>
      <c r="E16" s="40" t="n">
        <v>1.47</v>
      </c>
      <c r="F16" s="40">
        <f>D16-E16</f>
        <v/>
      </c>
      <c r="G16" s="7" t="inlineStr">
        <is>
          <t>плитка</t>
        </is>
      </c>
      <c r="H16" s="7" t="inlineStr">
        <is>
          <t>минус ДВ-1</t>
        </is>
      </c>
    </row>
    <row r="17">
      <c r="A17" s="12" t="inlineStr">
        <is>
          <t>С/у север</t>
        </is>
      </c>
      <c r="B17" s="12" t="inlineStr">
        <is>
          <t>перегородка</t>
        </is>
      </c>
      <c r="C17" s="12" t="inlineStr">
        <is>
          <t>мокрый</t>
        </is>
      </c>
      <c r="D17" s="39" t="n">
        <v>3.858</v>
      </c>
      <c r="E17" s="39" t="n">
        <v>0</v>
      </c>
      <c r="F17" s="39">
        <f>D17-E17</f>
        <v/>
      </c>
      <c r="G17" s="12" t="inlineStr">
        <is>
          <t>плитка</t>
        </is>
      </c>
      <c r="H17" s="12" t="inlineStr"/>
    </row>
    <row r="18">
      <c r="A18" s="7" t="inlineStr">
        <is>
          <t>С/у юг</t>
        </is>
      </c>
      <c r="B18" s="7" t="inlineStr">
        <is>
          <t>перегородка</t>
        </is>
      </c>
      <c r="C18" s="7" t="inlineStr">
        <is>
          <t>мокрый</t>
        </is>
      </c>
      <c r="D18" s="40" t="n">
        <v>3.858</v>
      </c>
      <c r="E18" s="40" t="n">
        <v>0</v>
      </c>
      <c r="F18" s="40">
        <f>D18-E18</f>
        <v/>
      </c>
      <c r="G18" s="7" t="inlineStr">
        <is>
          <t>плитка</t>
        </is>
      </c>
      <c r="H18" s="7" t="inlineStr"/>
    </row>
    <row r="19">
      <c r="A19" s="16" t="inlineStr">
        <is>
          <t>Итого все стены</t>
        </is>
      </c>
      <c r="B19" s="16" t="n"/>
      <c r="C19" s="16" t="n"/>
      <c r="D19" s="36">
        <f>SUM(D5:D18)</f>
        <v/>
      </c>
      <c r="E19" s="36">
        <f>SUM(E5:E18)</f>
        <v/>
      </c>
      <c r="F19" s="36">
        <f>SUM(F5:F18)</f>
        <v/>
      </c>
      <c r="G19" s="16" t="n"/>
      <c r="H19" s="16" t="n"/>
    </row>
    <row r="20">
      <c r="A20" s="37" t="inlineStr">
        <is>
          <t>из них МДФ (жилые)</t>
        </is>
      </c>
      <c r="F20" s="41">
        <f>SUMIF(C5:C18,"жилая",F5:F18)</f>
        <v/>
      </c>
    </row>
    <row r="21">
      <c r="A21" s="37" t="inlineStr">
        <is>
          <t>из них плитка (с/у внутри)</t>
        </is>
      </c>
      <c r="F21" s="41">
        <f>SUMIF(C5:C18,"мокрый",F5:F18)</f>
        <v/>
      </c>
    </row>
    <row r="22">
      <c r="A22" s="37" t="inlineStr">
        <is>
          <t>перегородки, обе стороны (под обшивку листа)</t>
        </is>
      </c>
      <c r="F22" s="41">
        <f>SUMIF(B5:B18,"перегородка",D5:D18)</f>
        <v/>
      </c>
    </row>
    <row r="24">
      <c r="A24" s="28" t="inlineStr">
        <is>
          <t>Высоты: длинные стены 2.615 м; фронтоны и поперечные перегородки — по скату (карниз 2.615, конёк внутри 3.897 м). Площадь фронтона = интеграл высоты по ширине 5.50 м.</t>
        </is>
      </c>
    </row>
    <row r="25"/>
    <row r="26"/>
  </sheetData>
  <autoFilter ref="A4:H18"/>
  <mergeCells count="3">
    <mergeCell ref="A24:H26"/>
    <mergeCell ref="A2:H2"/>
    <mergeCell ref="A1:H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14" customWidth="1" min="4" max="4"/>
    <col width="28" customWidth="1" min="5" max="5"/>
    <col width="28" customWidth="1" min="6" max="6"/>
  </cols>
  <sheetData>
    <row r="1" ht="22" customHeight="1">
      <c r="A1" s="1" t="inlineStr">
        <is>
          <t>Потолки скатные</t>
        </is>
      </c>
    </row>
    <row r="2" ht="32" customHeight="1">
      <c r="A2" s="2" t="inlineStr">
        <is>
          <t>Утеплитель и плёнка уже есть. Считаем обрешётку и обшивку.</t>
        </is>
      </c>
    </row>
    <row r="4">
      <c r="A4" s="3" t="inlineStr">
        <is>
          <t>Помещение</t>
        </is>
      </c>
      <c r="B4" s="3" t="inlineStr">
        <is>
          <t>Пол, м²</t>
        </is>
      </c>
      <c r="C4" s="3" t="inlineStr">
        <is>
          <t>Коэффициент ската</t>
        </is>
      </c>
      <c r="D4" s="3" t="inlineStr">
        <is>
          <t>Потолок, м²</t>
        </is>
      </c>
      <c r="E4" s="3" t="inlineStr">
        <is>
          <t>Отделка</t>
        </is>
      </c>
      <c r="F4" s="3" t="inlineStr">
        <is>
          <t>Примечание</t>
        </is>
      </c>
    </row>
    <row r="5">
      <c r="A5" s="12" t="inlineStr">
        <is>
          <t>Спальня 1</t>
        </is>
      </c>
      <c r="B5" s="39" t="n">
        <v>9.210000000000001</v>
      </c>
      <c r="C5" s="29">
        <f>1/COS(RADIANS(25))</f>
        <v/>
      </c>
      <c r="D5" s="39">
        <f>B5*C5</f>
        <v/>
      </c>
      <c r="E5" s="12" t="inlineStr">
        <is>
          <t>МДФ дуб альпийский</t>
        </is>
      </c>
      <c r="F5" s="12" t="inlineStr">
        <is>
          <t>Sпот = Sпол / cos25°</t>
        </is>
      </c>
    </row>
    <row r="6">
      <c r="A6" s="7" t="inlineStr">
        <is>
          <t>Спальня 2</t>
        </is>
      </c>
      <c r="B6" s="40" t="n">
        <v>9.210000000000001</v>
      </c>
      <c r="C6" s="30">
        <f>1/COS(RADIANS(25))</f>
        <v/>
      </c>
      <c r="D6" s="40">
        <f>B6*C6</f>
        <v/>
      </c>
      <c r="E6" s="7" t="inlineStr">
        <is>
          <t>МДФ дуб альпийский</t>
        </is>
      </c>
      <c r="F6" s="7" t="inlineStr">
        <is>
          <t>Sпот = Sпол / cos25°</t>
        </is>
      </c>
    </row>
    <row r="7">
      <c r="A7" s="12" t="inlineStr">
        <is>
          <t>Кухня-гостиная</t>
        </is>
      </c>
      <c r="B7" s="39" t="n">
        <v>20.29</v>
      </c>
      <c r="C7" s="29">
        <f>1/COS(RADIANS(25))</f>
        <v/>
      </c>
      <c r="D7" s="39">
        <f>B7*C7</f>
        <v/>
      </c>
      <c r="E7" s="12" t="inlineStr">
        <is>
          <t>МДФ дуб альпийский</t>
        </is>
      </c>
      <c r="F7" s="12" t="inlineStr">
        <is>
          <t>Sпот = Sпол / cos25°</t>
        </is>
      </c>
    </row>
    <row r="8">
      <c r="A8" s="7" t="inlineStr">
        <is>
          <t>Прихожая</t>
        </is>
      </c>
      <c r="B8" s="40" t="n">
        <v>3.01</v>
      </c>
      <c r="C8" s="30">
        <f>1/COS(RADIANS(25))</f>
        <v/>
      </c>
      <c r="D8" s="40">
        <f>B8*C8</f>
        <v/>
      </c>
      <c r="E8" s="7" t="inlineStr">
        <is>
          <t>МДФ дуб альпийский</t>
        </is>
      </c>
      <c r="F8" s="7" t="inlineStr">
        <is>
          <t>Sпот = Sпол / cos25°</t>
        </is>
      </c>
    </row>
    <row r="9">
      <c r="A9" s="12" t="inlineStr">
        <is>
          <t>С/у</t>
        </is>
      </c>
      <c r="B9" s="39" t="n">
        <v>3.59</v>
      </c>
      <c r="C9" s="29">
        <f>1/COS(RADIANS(25))</f>
        <v/>
      </c>
      <c r="D9" s="39">
        <f>B9*C9</f>
        <v/>
      </c>
      <c r="E9" s="12" t="inlineStr">
        <is>
          <t>ГВЛВ + краска влагостойкая</t>
        </is>
      </c>
      <c r="F9" s="12" t="inlineStr">
        <is>
          <t>Sпот = Sпол / cos25°</t>
        </is>
      </c>
    </row>
    <row r="10">
      <c r="A10" s="16" t="inlineStr">
        <is>
          <t>Итого</t>
        </is>
      </c>
      <c r="B10" s="36">
        <f>SUM(B5:B9)</f>
        <v/>
      </c>
      <c r="C10" s="16" t="n"/>
      <c r="D10" s="36">
        <f>SUM(D5:D9)</f>
        <v/>
      </c>
      <c r="E10" s="16" t="n"/>
      <c r="F10" s="16" t="n"/>
    </row>
    <row r="11">
      <c r="A11" s="42" t="inlineStr">
        <is>
          <t>МДФ (без с/у)</t>
        </is>
      </c>
      <c r="B11" s="43" t="n"/>
      <c r="C11" s="42" t="n"/>
      <c r="D11" s="43">
        <f>SUM(D5:D8)</f>
        <v/>
      </c>
      <c r="E11" s="42" t="n"/>
      <c r="F11" s="42" t="n"/>
    </row>
    <row r="12">
      <c r="A12" s="42" t="inlineStr">
        <is>
          <t>с/у потолок</t>
        </is>
      </c>
      <c r="B12" s="43" t="n"/>
      <c r="C12" s="42" t="n"/>
      <c r="D12" s="43">
        <f>D9</f>
        <v/>
      </c>
      <c r="E12" s="42" t="n"/>
      <c r="F12" s="42" t="n"/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22" customWidth="1" min="8" max="8"/>
  </cols>
  <sheetData>
    <row r="1" ht="22" customHeight="1">
      <c r="A1" s="1" t="inlineStr">
        <is>
          <t>Окна — ведомость (закупка не нужна)</t>
        </is>
      </c>
    </row>
    <row r="2" ht="32" customHeight="1">
      <c r="A2" s="2" t="inlineStr">
        <is>
          <t>Изделия уже стоят. Площадь для справки и для вычета из стен.</t>
        </is>
      </c>
    </row>
    <row r="4">
      <c r="A4" s="3" t="inlineStr">
        <is>
          <t>Марка</t>
        </is>
      </c>
      <c r="B4" s="3" t="inlineStr">
        <is>
          <t>Где</t>
        </is>
      </c>
      <c r="C4" s="3" t="inlineStr">
        <is>
          <t>Ширина, м</t>
        </is>
      </c>
      <c r="D4" s="3" t="inlineStr">
        <is>
          <t>Высота, м</t>
        </is>
      </c>
      <c r="E4" s="3" t="inlineStr">
        <is>
          <t>Sill, м</t>
        </is>
      </c>
      <c r="F4" s="3" t="inlineStr">
        <is>
          <t>Кол-во</t>
        </is>
      </c>
      <c r="G4" s="3" t="inlineStr">
        <is>
          <t>Площадь, м²</t>
        </is>
      </c>
      <c r="H4" s="3" t="inlineStr">
        <is>
          <t>Статус</t>
        </is>
      </c>
    </row>
    <row r="5">
      <c r="A5" s="35" t="inlineStr">
        <is>
          <t>ОК-4</t>
        </is>
      </c>
      <c r="B5" s="35" t="inlineStr">
        <is>
          <t>север, спальня 1</t>
        </is>
      </c>
      <c r="C5" s="44" t="n">
        <v>1.2</v>
      </c>
      <c r="D5" s="44" t="n">
        <v>2.1</v>
      </c>
      <c r="E5" s="45" t="n">
        <v>0.029</v>
      </c>
      <c r="F5" s="46" t="n">
        <v>1</v>
      </c>
      <c r="G5" s="44">
        <f>C5*D5*F5</f>
        <v/>
      </c>
      <c r="H5" s="35" t="inlineStr">
        <is>
          <t>есть, не покупать</t>
        </is>
      </c>
    </row>
    <row r="6">
      <c r="A6" s="35" t="inlineStr">
        <is>
          <t>ОК-4</t>
        </is>
      </c>
      <c r="B6" s="35" t="inlineStr">
        <is>
          <t>север, спальня 2</t>
        </is>
      </c>
      <c r="C6" s="44" t="n">
        <v>1.2</v>
      </c>
      <c r="D6" s="44" t="n">
        <v>2.1</v>
      </c>
      <c r="E6" s="45" t="n">
        <v>0.029</v>
      </c>
      <c r="F6" s="46" t="n">
        <v>1</v>
      </c>
      <c r="G6" s="44">
        <f>C6*D6*F6</f>
        <v/>
      </c>
      <c r="H6" s="35" t="inlineStr">
        <is>
          <t>есть, не покупать</t>
        </is>
      </c>
    </row>
    <row r="7">
      <c r="A7" s="35" t="inlineStr">
        <is>
          <t>ОК-2</t>
        </is>
      </c>
      <c r="B7" s="35" t="inlineStr">
        <is>
          <t>запад, с/у</t>
        </is>
      </c>
      <c r="C7" s="44" t="n">
        <v>0.7</v>
      </c>
      <c r="D7" s="44" t="n">
        <v>0.7</v>
      </c>
      <c r="E7" s="45" t="n">
        <v>1.1</v>
      </c>
      <c r="F7" s="46" t="n">
        <v>1</v>
      </c>
      <c r="G7" s="44">
        <f>C7*D7*F7</f>
        <v/>
      </c>
      <c r="H7" s="35" t="inlineStr">
        <is>
          <t>есть, не покупать</t>
        </is>
      </c>
    </row>
    <row r="8">
      <c r="A8" s="35" t="inlineStr">
        <is>
          <t>ОК-6</t>
        </is>
      </c>
      <c r="B8" s="35" t="inlineStr">
        <is>
          <t>юг, гостиная, низ</t>
        </is>
      </c>
      <c r="C8" s="44" t="n">
        <v>1.2</v>
      </c>
      <c r="D8" s="44" t="n">
        <v>2</v>
      </c>
      <c r="E8" s="45" t="n">
        <v>0</v>
      </c>
      <c r="F8" s="46" t="n">
        <v>1</v>
      </c>
      <c r="G8" s="44">
        <f>C8*D8*F8</f>
        <v/>
      </c>
      <c r="H8" s="35" t="inlineStr">
        <is>
          <t>есть, не покупать</t>
        </is>
      </c>
    </row>
    <row r="9">
      <c r="A9" s="35" t="inlineStr">
        <is>
          <t>ОК-5</t>
        </is>
      </c>
      <c r="B9" s="35" t="inlineStr">
        <is>
          <t>юг, гостиная, низ</t>
        </is>
      </c>
      <c r="C9" s="44" t="n">
        <v>1.3</v>
      </c>
      <c r="D9" s="44" t="n">
        <v>2</v>
      </c>
      <c r="E9" s="45" t="n">
        <v>0</v>
      </c>
      <c r="F9" s="46" t="n">
        <v>1</v>
      </c>
      <c r="G9" s="44">
        <f>C9*D9*F9</f>
        <v/>
      </c>
      <c r="H9" s="35" t="inlineStr">
        <is>
          <t>есть, не покупать</t>
        </is>
      </c>
    </row>
    <row r="10">
      <c r="A10" s="35" t="inlineStr">
        <is>
          <t>ОК-5</t>
        </is>
      </c>
      <c r="B10" s="35" t="inlineStr">
        <is>
          <t>юг, холл, низ</t>
        </is>
      </c>
      <c r="C10" s="44" t="n">
        <v>1.4</v>
      </c>
      <c r="D10" s="44" t="n">
        <v>2</v>
      </c>
      <c r="E10" s="45" t="n">
        <v>0</v>
      </c>
      <c r="F10" s="46" t="n">
        <v>1</v>
      </c>
      <c r="G10" s="44">
        <f>C10*D10*F10</f>
        <v/>
      </c>
      <c r="H10" s="35" t="inlineStr">
        <is>
          <t>есть, не покупать</t>
        </is>
      </c>
    </row>
    <row r="11">
      <c r="A11" s="35" t="inlineStr">
        <is>
          <t>ОК-1</t>
        </is>
      </c>
      <c r="B11" s="35" t="inlineStr">
        <is>
          <t>юг, второй свет над дверью</t>
        </is>
      </c>
      <c r="C11" s="44" t="n">
        <v>1</v>
      </c>
      <c r="D11" s="44" t="n">
        <v>0.6</v>
      </c>
      <c r="E11" s="45" t="n">
        <v>2.2</v>
      </c>
      <c r="F11" s="46" t="n">
        <v>1</v>
      </c>
      <c r="G11" s="44">
        <f>C11*D11*F11</f>
        <v/>
      </c>
      <c r="H11" s="35" t="inlineStr">
        <is>
          <t>есть, не покупать</t>
        </is>
      </c>
    </row>
    <row r="12">
      <c r="A12" s="35" t="inlineStr">
        <is>
          <t>ОК-3а</t>
        </is>
      </c>
      <c r="B12" s="35" t="inlineStr">
        <is>
          <t>юг, второй свет</t>
        </is>
      </c>
      <c r="C12" s="44" t="n">
        <v>1.4</v>
      </c>
      <c r="D12" s="44" t="n">
        <v>1.2</v>
      </c>
      <c r="E12" s="45" t="n">
        <v>2.2</v>
      </c>
      <c r="F12" s="46" t="n">
        <v>1</v>
      </c>
      <c r="G12" s="44">
        <f>C12*D12*F12</f>
        <v/>
      </c>
      <c r="H12" s="35" t="inlineStr">
        <is>
          <t>есть, не покупать</t>
        </is>
      </c>
    </row>
    <row r="13">
      <c r="A13" s="35" t="inlineStr">
        <is>
          <t>ОК-3</t>
        </is>
      </c>
      <c r="B13" s="35" t="inlineStr">
        <is>
          <t>юг, второй свет</t>
        </is>
      </c>
      <c r="C13" s="44" t="n">
        <v>1.3</v>
      </c>
      <c r="D13" s="44" t="n">
        <v>1.37</v>
      </c>
      <c r="E13" s="45" t="n">
        <v>2.2</v>
      </c>
      <c r="F13" s="46" t="n">
        <v>1</v>
      </c>
      <c r="G13" s="44">
        <f>C13*D13*F13</f>
        <v/>
      </c>
      <c r="H13" s="35" t="inlineStr">
        <is>
          <t>есть, не покупать</t>
        </is>
      </c>
    </row>
    <row r="14">
      <c r="A14" s="35" t="inlineStr">
        <is>
          <t>ОК-1а</t>
        </is>
      </c>
      <c r="B14" s="35" t="inlineStr">
        <is>
          <t>юг, второй свет</t>
        </is>
      </c>
      <c r="C14" s="44" t="n">
        <v>1.2</v>
      </c>
      <c r="D14" s="44" t="n">
        <v>0.55</v>
      </c>
      <c r="E14" s="45" t="n">
        <v>2.2</v>
      </c>
      <c r="F14" s="46" t="n">
        <v>1</v>
      </c>
      <c r="G14" s="44">
        <f>C14*D14*F14</f>
        <v/>
      </c>
      <c r="H14" s="35" t="inlineStr">
        <is>
          <t>есть, не покупать</t>
        </is>
      </c>
    </row>
    <row r="15">
      <c r="A15" s="16" t="inlineStr">
        <is>
          <t>Итого остекление окон</t>
        </is>
      </c>
      <c r="B15" s="16" t="n"/>
      <c r="C15" s="16" t="n"/>
      <c r="D15" s="16" t="n"/>
      <c r="E15" s="16" t="n"/>
      <c r="F15" s="16" t="n"/>
      <c r="G15" s="36">
        <f>SUM(G5:G14)</f>
        <v/>
      </c>
      <c r="H15" s="16" t="n"/>
    </row>
    <row r="16">
      <c r="A16" s="16" t="inlineStr">
        <is>
          <t>ДН-4 стекло (дверь, см. вкладку Двери)</t>
        </is>
      </c>
      <c r="B16" s="16" t="n"/>
      <c r="C16" s="16" t="n"/>
      <c r="D16" s="16" t="n"/>
      <c r="E16" s="16" t="n"/>
      <c r="F16" s="16" t="n"/>
      <c r="G16" s="36" t="n">
        <v>1.95</v>
      </c>
      <c r="H16" s="16" t="n"/>
    </row>
    <row r="17">
      <c r="A17" s="16" t="inlineStr">
        <is>
          <t>Всего светопрозрачных (окна+ДН-4)</t>
        </is>
      </c>
      <c r="B17" s="16" t="n"/>
      <c r="C17" s="16" t="n"/>
      <c r="D17" s="16" t="n"/>
      <c r="E17" s="16" t="n"/>
      <c r="F17" s="16" t="n"/>
      <c r="G17" s="36">
        <f>G15+G16</f>
        <v/>
      </c>
      <c r="H17" s="16" t="n"/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2" customWidth="1" min="4" max="4"/>
    <col width="12" customWidth="1" min="5" max="5"/>
    <col width="14" customWidth="1" min="6" max="6"/>
    <col width="14" customWidth="1" min="7" max="7"/>
    <col width="20" customWidth="1" min="8" max="8"/>
  </cols>
  <sheetData>
    <row r="1" ht="22" customHeight="1">
      <c r="A1" s="1" t="inlineStr">
        <is>
          <t>Двери — ведомость (закупка не нужна)</t>
        </is>
      </c>
    </row>
    <row r="2" ht="32" customHeight="1">
      <c r="A2" s="2" t="inlineStr">
        <is>
          <t>Полотно, коробка и фурнитура уже есть. Наличники в смету не ставил.</t>
        </is>
      </c>
    </row>
    <row r="4">
      <c r="A4" s="3" t="inlineStr">
        <is>
          <t>Марка</t>
        </is>
      </c>
      <c r="B4" s="3" t="inlineStr">
        <is>
          <t>Тип</t>
        </is>
      </c>
      <c r="C4" s="3" t="inlineStr">
        <is>
          <t>Где</t>
        </is>
      </c>
      <c r="D4" s="3" t="inlineStr">
        <is>
          <t>Ширина, м</t>
        </is>
      </c>
      <c r="E4" s="3" t="inlineStr">
        <is>
          <t>Высота, м</t>
        </is>
      </c>
      <c r="F4" s="3" t="inlineStr">
        <is>
          <t>Материал</t>
        </is>
      </c>
      <c r="G4" s="3" t="inlineStr">
        <is>
          <t>Площадь, м²</t>
        </is>
      </c>
      <c r="H4" s="3" t="inlineStr">
        <is>
          <t>Статус</t>
        </is>
      </c>
    </row>
    <row r="5">
      <c r="A5" s="35" t="inlineStr">
        <is>
          <t>ДН-4</t>
        </is>
      </c>
      <c r="B5" s="35" t="inlineStr">
        <is>
          <t>входная</t>
        </is>
      </c>
      <c r="C5" s="35" t="inlineStr">
        <is>
          <t>торец у террасы, холл</t>
        </is>
      </c>
      <c r="D5" s="44" t="n">
        <v>1</v>
      </c>
      <c r="E5" s="44" t="n">
        <v>1.95</v>
      </c>
      <c r="F5" s="35" t="inlineStr">
        <is>
          <t>стекло</t>
        </is>
      </c>
      <c r="G5" s="44">
        <f>D5*E5</f>
        <v/>
      </c>
      <c r="H5" s="35" t="inlineStr">
        <is>
          <t>есть, не покупать</t>
        </is>
      </c>
    </row>
    <row r="6">
      <c r="A6" s="35" t="inlineStr">
        <is>
          <t>ДВ-1</t>
        </is>
      </c>
      <c r="B6" s="35" t="inlineStr">
        <is>
          <t>межкомнатная</t>
        </is>
      </c>
      <c r="C6" s="35" t="inlineStr">
        <is>
          <t>зал → с/у</t>
        </is>
      </c>
      <c r="D6" s="44" t="n">
        <v>0.7</v>
      </c>
      <c r="E6" s="44" t="n">
        <v>2.1</v>
      </c>
      <c r="F6" s="35" t="inlineStr">
        <is>
          <t>глухая</t>
        </is>
      </c>
      <c r="G6" s="44">
        <f>D6*E6</f>
        <v/>
      </c>
      <c r="H6" s="35" t="inlineStr">
        <is>
          <t>есть, не покупать</t>
        </is>
      </c>
    </row>
    <row r="7">
      <c r="A7" s="35" t="inlineStr">
        <is>
          <t>ДВ-2</t>
        </is>
      </c>
      <c r="B7" s="35" t="inlineStr">
        <is>
          <t>межкомнатная</t>
        </is>
      </c>
      <c r="C7" s="35" t="inlineStr">
        <is>
          <t>зал → спальня 2</t>
        </is>
      </c>
      <c r="D7" s="44" t="n">
        <v>0.8</v>
      </c>
      <c r="E7" s="44" t="n">
        <v>2.1</v>
      </c>
      <c r="F7" s="35" t="inlineStr">
        <is>
          <t>глухая</t>
        </is>
      </c>
      <c r="G7" s="44">
        <f>D7*E7</f>
        <v/>
      </c>
      <c r="H7" s="35" t="inlineStr">
        <is>
          <t>есть, не покупать</t>
        </is>
      </c>
    </row>
    <row r="8">
      <c r="A8" s="35" t="inlineStr">
        <is>
          <t>ДВ-3</t>
        </is>
      </c>
      <c r="B8" s="35" t="inlineStr">
        <is>
          <t>межкомнатная</t>
        </is>
      </c>
      <c r="C8" s="35" t="inlineStr">
        <is>
          <t>зал → спальня 1</t>
        </is>
      </c>
      <c r="D8" s="44" t="n">
        <v>0.8</v>
      </c>
      <c r="E8" s="44" t="n">
        <v>2.1</v>
      </c>
      <c r="F8" s="35" t="inlineStr">
        <is>
          <t>глухая</t>
        </is>
      </c>
      <c r="G8" s="44">
        <f>D8*E8</f>
        <v/>
      </c>
      <c r="H8" s="35" t="inlineStr">
        <is>
          <t>есть, не покупать</t>
        </is>
      </c>
    </row>
    <row r="9">
      <c r="A9" s="16" t="inlineStr">
        <is>
          <t>Итого проёмы дверей</t>
        </is>
      </c>
      <c r="B9" s="16" t="n"/>
      <c r="C9" s="16" t="n"/>
      <c r="D9" s="16" t="n"/>
      <c r="E9" s="16" t="n"/>
      <c r="F9" s="16" t="n"/>
      <c r="G9" s="36">
        <f>SUM(G5:G8)</f>
        <v/>
      </c>
      <c r="H9" s="16" t="n"/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48" customWidth="1" min="4" max="4"/>
    <col width="12" customWidth="1" min="5" max="5"/>
    <col width="14" customWidth="1" min="6" max="6"/>
  </cols>
  <sheetData>
    <row r="1" ht="22" customHeight="1">
      <c r="A1" s="1" t="inlineStr">
        <is>
          <t>Обшивка МДФ-панелями — расчёт</t>
        </is>
      </c>
    </row>
    <row r="2" ht="32" customHeight="1">
      <c r="A2" s="2" t="inlineStr">
        <is>
          <t>Жилые стены + скатные потолки. С/у и терраса исключены. Панель Союз 2600×238×6, рабочая ширина 220 мм.</t>
        </is>
      </c>
    </row>
    <row r="4">
      <c r="A4" s="3" t="inlineStr">
        <is>
          <t>Показатель</t>
        </is>
      </c>
      <c r="B4" s="3" t="inlineStr">
        <is>
          <t>Значение</t>
        </is>
      </c>
      <c r="C4" s="3" t="inlineStr">
        <is>
          <t>Ед.</t>
        </is>
      </c>
      <c r="D4" s="3" t="inlineStr">
        <is>
          <t>Формула / источник</t>
        </is>
      </c>
      <c r="E4" s="3" t="inlineStr">
        <is>
          <t>Запас</t>
        </is>
      </c>
      <c r="F4" s="3" t="inlineStr">
        <is>
          <t>К закупке</t>
        </is>
      </c>
    </row>
    <row r="5">
      <c r="A5" s="12" t="inlineStr">
        <is>
          <t>Стены под МДФ</t>
        </is>
      </c>
      <c r="B5" s="39">
        <f>SUMIF(Стены!C5:C18,"жилая",Стены!F5:F18)</f>
        <v/>
      </c>
      <c r="C5" s="12" t="inlineStr">
        <is>
          <t>м²</t>
        </is>
      </c>
      <c r="D5" s="12" t="inlineStr">
        <is>
          <t>Стены! жилая</t>
        </is>
      </c>
      <c r="E5" s="47" t="n">
        <v>0.1</v>
      </c>
      <c r="F5" s="39">
        <f>B5*(1+E5)</f>
        <v/>
      </c>
    </row>
    <row r="6">
      <c r="A6" s="7" t="inlineStr">
        <is>
          <t>Потолки под МДФ</t>
        </is>
      </c>
      <c r="B6" s="40">
        <f>Потолки!D11</f>
        <v/>
      </c>
      <c r="C6" s="7" t="inlineStr">
        <is>
          <t>м²</t>
        </is>
      </c>
      <c r="D6" s="7" t="inlineStr">
        <is>
          <t>Потолки! без с/у</t>
        </is>
      </c>
      <c r="E6" s="48" t="n">
        <v>0.15</v>
      </c>
      <c r="F6" s="40">
        <f>B6*(1+E6)</f>
        <v/>
      </c>
    </row>
    <row r="7">
      <c r="A7" s="12" t="inlineStr">
        <is>
          <t>Итого поверхность МДФ</t>
        </is>
      </c>
      <c r="B7" s="39">
        <f>B5+B6</f>
        <v/>
      </c>
      <c r="C7" s="12" t="inlineStr">
        <is>
          <t>м²</t>
        </is>
      </c>
      <c r="D7" s="12" t="inlineStr">
        <is>
          <t>стены+потолки</t>
        </is>
      </c>
      <c r="E7" s="47" t="inlineStr"/>
      <c r="F7" s="39">
        <f>F5+F6</f>
        <v/>
      </c>
    </row>
    <row r="8">
      <c r="A8" s="7" t="inlineStr">
        <is>
          <t>Рабочая площадь 1 панели</t>
        </is>
      </c>
      <c r="B8" s="40" t="n">
        <v>0.572</v>
      </c>
      <c r="C8" s="7" t="inlineStr">
        <is>
          <t>м²/шт</t>
        </is>
      </c>
      <c r="D8" s="7" t="inlineStr">
        <is>
          <t>2.600 × 0.220 (шип не в покрытии)</t>
        </is>
      </c>
      <c r="E8" s="48" t="inlineStr"/>
      <c r="F8" s="40" t="inlineStr"/>
    </row>
    <row r="9">
      <c r="A9" s="12" t="inlineStr">
        <is>
          <t>Панелей, кратно упаковке 8 шт</t>
        </is>
      </c>
      <c r="B9" s="31">
        <f>CEILING(F7/B8/8,1)*8</f>
        <v/>
      </c>
      <c r="C9" s="12" t="inlineStr">
        <is>
          <t>шт</t>
        </is>
      </c>
      <c r="D9" s="12" t="inlineStr">
        <is>
          <t>CEILING(запас / 0.572 / 8)×8</t>
        </is>
      </c>
      <c r="E9" s="47" t="inlineStr"/>
      <c r="F9" s="39">
        <f>B9</f>
        <v/>
      </c>
    </row>
    <row r="10">
      <c r="A10" s="7" t="inlineStr">
        <is>
          <t>Упаковок ×8</t>
        </is>
      </c>
      <c r="B10" s="49">
        <f>B9/8</f>
        <v/>
      </c>
      <c r="C10" s="7" t="inlineStr">
        <is>
          <t>уп</t>
        </is>
      </c>
      <c r="D10" s="7" t="inlineStr">
        <is>
          <t>панели / 8</t>
        </is>
      </c>
      <c r="E10" s="48" t="inlineStr"/>
      <c r="F10" s="40">
        <f>B10</f>
        <v/>
      </c>
    </row>
    <row r="11">
      <c r="A11" s="12" t="inlineStr">
        <is>
          <t>Обрешётка 20×40 шаг 400 мм</t>
        </is>
      </c>
      <c r="B11" s="39">
        <f>B7/0.4*1.15</f>
        <v/>
      </c>
      <c r="C11" s="12" t="inlineStr">
        <is>
          <t>м.п.</t>
        </is>
      </c>
      <c r="D11" s="12" t="inlineStr">
        <is>
          <t>S / 0.40 × 1.15</t>
        </is>
      </c>
      <c r="E11" s="47" t="inlineStr"/>
      <c r="F11" s="39">
        <f>B11</f>
        <v/>
      </c>
    </row>
    <row r="12">
      <c r="A12" s="7" t="inlineStr">
        <is>
          <t>Брусок 20×40×3000</t>
        </is>
      </c>
      <c r="B12" s="49">
        <f>CEILING(B11/3,1)</f>
        <v/>
      </c>
      <c r="C12" s="7" t="inlineStr">
        <is>
          <t>шт</t>
        </is>
      </c>
      <c r="D12" s="7" t="inlineStr">
        <is>
          <t>м.п. / 3</t>
        </is>
      </c>
      <c r="E12" s="48" t="inlineStr"/>
      <c r="F12" s="40">
        <f>B12</f>
        <v/>
      </c>
    </row>
    <row r="13">
      <c r="A13" s="12" t="inlineStr">
        <is>
          <t>Кляймер №3 (под 6 мм)</t>
        </is>
      </c>
      <c r="B13" s="31">
        <f>B9*8</f>
        <v/>
      </c>
      <c r="C13" s="12" t="inlineStr">
        <is>
          <t>шт</t>
        </is>
      </c>
      <c r="D13" s="12" t="inlineStr">
        <is>
          <t>≈8 шт на панель 2.6 м</t>
        </is>
      </c>
      <c r="E13" s="47" t="inlineStr"/>
      <c r="F13" s="39">
        <f>B13</f>
        <v/>
      </c>
    </row>
    <row r="14">
      <c r="A14" s="7" t="inlineStr">
        <is>
          <t>Плинтус жилые</t>
        </is>
      </c>
      <c r="B14" s="40" t="n">
        <v>51</v>
      </c>
      <c r="C14" s="7" t="inlineStr">
        <is>
          <t>м.п.</t>
        </is>
      </c>
      <c r="D14" s="7" t="inlineStr">
        <is>
          <t>периметр комнат − двери ×1.10</t>
        </is>
      </c>
      <c r="E14" s="48" t="inlineStr"/>
      <c r="F14" s="40" t="n">
        <v>51</v>
      </c>
    </row>
    <row r="15">
      <c r="A15" s="12" t="inlineStr">
        <is>
          <t>Угол / галтель МДФ 2600 в цвет</t>
        </is>
      </c>
      <c r="B15" s="31" t="n">
        <v>42</v>
      </c>
      <c r="C15" s="12" t="inlineStr">
        <is>
          <t>шт</t>
        </is>
      </c>
      <c r="D15" s="12" t="inlineStr">
        <is>
          <t>углы + конёк + потолочный периметр / 2.6</t>
        </is>
      </c>
      <c r="E15" s="47" t="inlineStr"/>
      <c r="F15" s="31" t="n">
        <v>42</v>
      </c>
    </row>
    <row r="17">
      <c r="A17" s="28" t="inlineStr">
        <is>
          <t>МДФ Союз Классик дуб альпийский 2600×238×6 мм. Полная площадь листа 0,619 м², в покрытие идёт рабочая ширина 220 мм → 0,572 м²/шт. Упаковка 8 шт (Петрович продаёт поштучно, закладываю кратно упаковке). Панель 2,60 м на стену 2,615 м: низ/верх закрывает плинтус и галтель. На скатах уклон 3,03 м &gt; 2,60 м — стык и косые резы, запас потолка 15%. Покрытие уже есть, лак/масло не нужны. В с/у и на террасу не кладём (влажность / не трогаем).</t>
        </is>
      </c>
    </row>
    <row r="18"/>
    <row r="19"/>
    <row r="20"/>
  </sheetData>
  <mergeCells count="3">
    <mergeCell ref="A2:F2"/>
    <mergeCell ref="A1:F1"/>
    <mergeCell ref="A17:F20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6" customWidth="1" min="4" max="4"/>
    <col width="16" customWidth="1" min="5" max="5"/>
    <col width="12" customWidth="1" min="6" max="6"/>
    <col width="36" customWidth="1" min="7" max="7"/>
  </cols>
  <sheetData>
    <row r="1" ht="22" customHeight="1">
      <c r="A1" s="1" t="inlineStr">
        <is>
          <t>Тёплый пол сухой VALTEC VT.FP.SZ</t>
        </is>
      </c>
    </row>
    <row r="2" ht="32" customHeight="1">
      <c r="A2" s="2" t="inlineStr">
        <is>
          <t>По всему отапливаемому дому, включая с/у. Терраса нет.</t>
        </is>
      </c>
    </row>
    <row r="4">
      <c r="A4" s="3" t="inlineStr">
        <is>
          <t>Помещение</t>
        </is>
      </c>
      <c r="B4" s="3" t="inlineStr">
        <is>
          <t>Пол, м²</t>
        </is>
      </c>
      <c r="C4" s="3" t="inlineStr">
        <is>
          <t>Норма, шт/м²</t>
        </is>
      </c>
      <c r="D4" s="3" t="inlineStr">
        <is>
          <t>Пластины, шт</t>
        </is>
      </c>
      <c r="E4" s="3" t="inlineStr">
        <is>
          <t>Труба 16 мм, м</t>
        </is>
      </c>
      <c r="F4" s="3" t="inlineStr">
        <is>
          <t>Контуры</t>
        </is>
      </c>
      <c r="G4" s="3" t="inlineStr">
        <is>
          <t>Примечание</t>
        </is>
      </c>
    </row>
    <row r="5">
      <c r="A5" s="12" t="inlineStr">
        <is>
          <t>Спальня 1</t>
        </is>
      </c>
      <c r="B5" s="39" t="n">
        <v>9.210000000000001</v>
      </c>
      <c r="C5" s="50" t="n">
        <v>6.4</v>
      </c>
      <c r="D5" s="31">
        <f>CEILING(B5*C5,1)</f>
        <v/>
      </c>
      <c r="E5" s="50">
        <f>B5*8</f>
        <v/>
      </c>
      <c r="F5" s="31">
        <f>CEILING(E5/80,1)</f>
        <v/>
      </c>
      <c r="G5" s="12" t="inlineStr">
        <is>
          <t>шаг 125 мм, пластины на прямых</t>
        </is>
      </c>
    </row>
    <row r="6">
      <c r="A6" s="7" t="inlineStr">
        <is>
          <t>Спальня 2</t>
        </is>
      </c>
      <c r="B6" s="40" t="n">
        <v>9.210000000000001</v>
      </c>
      <c r="C6" s="51" t="n">
        <v>6.4</v>
      </c>
      <c r="D6" s="49">
        <f>CEILING(B6*C6,1)</f>
        <v/>
      </c>
      <c r="E6" s="51">
        <f>B6*8</f>
        <v/>
      </c>
      <c r="F6" s="49">
        <f>CEILING(E6/80,1)</f>
        <v/>
      </c>
      <c r="G6" s="7" t="inlineStr">
        <is>
          <t>шаг 125 мм, пластины на прямых</t>
        </is>
      </c>
    </row>
    <row r="7">
      <c r="A7" s="12" t="inlineStr">
        <is>
          <t>Кухня-гостиная</t>
        </is>
      </c>
      <c r="B7" s="39" t="n">
        <v>20.29</v>
      </c>
      <c r="C7" s="50" t="n">
        <v>6.4</v>
      </c>
      <c r="D7" s="31">
        <f>CEILING(B7*C7,1)</f>
        <v/>
      </c>
      <c r="E7" s="50">
        <f>B7*8</f>
        <v/>
      </c>
      <c r="F7" s="31">
        <f>CEILING(E7/80,1)</f>
        <v/>
      </c>
      <c r="G7" s="12" t="inlineStr">
        <is>
          <t>шаг 125 мм, пластины на прямых</t>
        </is>
      </c>
    </row>
    <row r="8">
      <c r="A8" s="7" t="inlineStr">
        <is>
          <t>Прихожая</t>
        </is>
      </c>
      <c r="B8" s="40" t="n">
        <v>3.01</v>
      </c>
      <c r="C8" s="51" t="n">
        <v>6.4</v>
      </c>
      <c r="D8" s="49">
        <f>CEILING(B8*C8,1)</f>
        <v/>
      </c>
      <c r="E8" s="51">
        <f>B8*8</f>
        <v/>
      </c>
      <c r="F8" s="49">
        <f>CEILING(E8/80,1)</f>
        <v/>
      </c>
      <c r="G8" s="7" t="inlineStr">
        <is>
          <t>шаг 125 мм, пластины на прямых</t>
        </is>
      </c>
    </row>
    <row r="9">
      <c r="A9" s="12" t="inlineStr">
        <is>
          <t>С/у</t>
        </is>
      </c>
      <c r="B9" s="39" t="n">
        <v>3.59</v>
      </c>
      <c r="C9" s="50" t="n">
        <v>6.4</v>
      </c>
      <c r="D9" s="31">
        <f>CEILING(B9*C9,1)</f>
        <v/>
      </c>
      <c r="E9" s="50">
        <f>B9*8</f>
        <v/>
      </c>
      <c r="F9" s="31">
        <f>CEILING(E9/80,1)</f>
        <v/>
      </c>
      <c r="G9" s="12" t="inlineStr">
        <is>
          <t>шаг 125 мм, пластины на прямых</t>
        </is>
      </c>
    </row>
    <row r="10">
      <c r="A10" s="16" t="inlineStr">
        <is>
          <t>Итого</t>
        </is>
      </c>
      <c r="B10" s="36">
        <f>SUM(B5:B9)</f>
        <v/>
      </c>
      <c r="C10" s="16" t="n"/>
      <c r="D10" s="16">
        <f>SUM(D5:D9)</f>
        <v/>
      </c>
      <c r="E10" s="36">
        <f>SUM(E5:E9)</f>
        <v/>
      </c>
      <c r="F10" s="16">
        <f>SUM(F5:F9)</f>
        <v/>
      </c>
      <c r="G10" s="16" t="n"/>
    </row>
    <row r="12">
      <c r="A12" s="37" t="inlineStr">
        <is>
          <t>К закупке пластин (кратно 40)</t>
        </is>
      </c>
      <c r="B12" s="52">
        <f>CEILING(D10/40,1)*40</f>
        <v/>
      </c>
    </row>
    <row r="13">
      <c r="A13" s="37" t="inlineStr">
        <is>
          <t>Коробок ×40</t>
        </is>
      </c>
      <c r="B13" s="52">
        <f>B12/40</f>
        <v/>
      </c>
    </row>
    <row r="14">
      <c r="A14" s="37" t="inlineStr">
        <is>
          <t>Труба 16 мм с запасом 10%</t>
        </is>
      </c>
      <c r="B14" s="52">
        <f>CEILING(E10*1.1,10)</f>
        <v/>
      </c>
    </row>
    <row r="15">
      <c r="A15" s="37" t="inlineStr">
        <is>
          <t>Коллектор, выходов</t>
        </is>
      </c>
      <c r="B15" s="52">
        <f>MAX(F10,5)</f>
        <v/>
      </c>
    </row>
    <row r="17">
      <c r="A17" s="28" t="inlineStr">
        <is>
          <t>Пластина VT.FP.SZ.0125 = 1000×125 мм, труба Ø16. Пачка 40 шт. Норма 6.4 шт/м² ≈ 80% покрытия (на петлях пластин нет). Контур не длиннее 80–90 м — отсюда число петель. Пол уже утеплён и под плёнкой: подложку под пластины не закладывал. Сверху на пластины — OSB-3 12 мм (жилые) / ГВЛВ (с/у), затем финиш. Не класть ламинат на пластины.</t>
        </is>
      </c>
    </row>
    <row r="18"/>
    <row r="19"/>
  </sheetData>
  <mergeCells count="3">
    <mergeCell ref="A2:G2"/>
    <mergeCell ref="A17:G19"/>
    <mergeCell ref="A1:G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6" customWidth="1" min="4" max="4"/>
    <col width="24" customWidth="1" min="5" max="5"/>
  </cols>
  <sheetData>
    <row r="1" ht="22" customHeight="1">
      <c r="A1" s="1" t="inlineStr">
        <is>
          <t>Санузел — площади мокрой зоны</t>
        </is>
      </c>
    </row>
    <row r="2" ht="32" customHeight="1">
      <c r="A2" s="2" t="inlineStr">
        <is>
          <t>Внутри с/у МДФ нет. Плитка стен и пола, ГВЛВ на потолок.</t>
        </is>
      </c>
    </row>
    <row r="4">
      <c r="A4" s="3" t="inlineStr">
        <is>
          <t>Элемент</t>
        </is>
      </c>
      <c r="B4" s="3" t="inlineStr">
        <is>
          <t>Площадь, м²</t>
        </is>
      </c>
      <c r="C4" s="3" t="inlineStr">
        <is>
          <t>Запас, %</t>
        </is>
      </c>
      <c r="D4" s="3" t="inlineStr">
        <is>
          <t>К закупке, м²</t>
        </is>
      </c>
      <c r="E4" s="3" t="inlineStr">
        <is>
          <t>Материал</t>
        </is>
      </c>
    </row>
    <row r="5">
      <c r="A5" s="12" t="inlineStr">
        <is>
          <t>Стены с/у внутри</t>
        </is>
      </c>
      <c r="B5" s="39">
        <f>SUMIF(Стены!C5:C18,"мокрый",Стены!F5:F18)</f>
        <v/>
      </c>
      <c r="C5" s="31" t="n">
        <v>12</v>
      </c>
      <c r="D5" s="39">
        <f>B5*(1+C5/100)</f>
        <v/>
      </c>
      <c r="E5" s="12" t="inlineStr">
        <is>
          <t>плитка настенная</t>
        </is>
      </c>
    </row>
    <row r="6">
      <c r="A6" s="7" t="inlineStr">
        <is>
          <t>Пол с/у</t>
        </is>
      </c>
      <c r="B6" s="40">
        <f>Полы!B9</f>
        <v/>
      </c>
      <c r="C6" s="49" t="n">
        <v>12</v>
      </c>
      <c r="D6" s="40">
        <f>B6*(1+C6/100)</f>
        <v/>
      </c>
      <c r="E6" s="7" t="inlineStr">
        <is>
          <t>керамогранит</t>
        </is>
      </c>
    </row>
    <row r="7">
      <c r="A7" s="12" t="inlineStr">
        <is>
          <t>Потолок с/у</t>
        </is>
      </c>
      <c r="B7" s="39">
        <f>Потолки!D9</f>
        <v/>
      </c>
      <c r="C7" s="31" t="n">
        <v>10</v>
      </c>
      <c r="D7" s="39">
        <f>B7*(1+C7/100)</f>
        <v/>
      </c>
      <c r="E7" s="12" t="inlineStr">
        <is>
          <t>ГВЛВ + краска</t>
        </is>
      </c>
    </row>
    <row r="8">
      <c r="A8" s="7" t="inlineStr">
        <is>
          <t>Гидроизоляция стен+пол (высота 2.0 по периметру + пол)</t>
        </is>
      </c>
      <c r="B8" s="40" t="n">
        <v>19.75</v>
      </c>
      <c r="C8" s="49" t="n">
        <v>10</v>
      </c>
      <c r="D8" s="40">
        <f>B8*(1+C8/100)</f>
        <v/>
      </c>
      <c r="E8" s="7" t="inlineStr">
        <is>
          <t>обмазочная + лента</t>
        </is>
      </c>
    </row>
    <row r="10">
      <c r="A10" s="28" t="inlineStr">
        <is>
          <t>Душ 900×900 по плану, унитаз, раковина, стиральная машина. Канализация и вода — во вкладке сметы, раздел сантехника.</t>
        </is>
      </c>
    </row>
    <row r="11"/>
    <row r="12"/>
  </sheetData>
  <mergeCells count="3">
    <mergeCell ref="A2:E2"/>
    <mergeCell ref="A10:E12"/>
    <mergeCell ref="A1:E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16" customWidth="1" min="4" max="4"/>
    <col width="28" customWidth="1" min="5" max="5"/>
  </cols>
  <sheetData>
    <row r="1" ht="22" customHeight="1">
      <c r="A1" s="1" t="inlineStr">
        <is>
          <t>Прочее — проёмы, периметры, сводные площади</t>
        </is>
      </c>
    </row>
    <row r="2" ht="32" customHeight="1">
      <c r="A2" s="2" t="inlineStr">
        <is>
          <t>Справочник для закупки. Окна и двери есть — площади только для вычета и периметров.</t>
        </is>
      </c>
    </row>
    <row r="4">
      <c r="A4" s="3" t="inlineStr">
        <is>
          <t>Показатель</t>
        </is>
      </c>
      <c r="B4" s="3" t="inlineStr">
        <is>
          <t>Значение</t>
        </is>
      </c>
      <c r="C4" s="3" t="inlineStr">
        <is>
          <t>Ед.</t>
        </is>
      </c>
      <c r="D4" s="3" t="inlineStr">
        <is>
          <t>Источник</t>
        </is>
      </c>
      <c r="E4" s="3" t="inlineStr">
        <is>
          <t>Комментарий</t>
        </is>
      </c>
    </row>
    <row r="5">
      <c r="A5" s="12" t="inlineStr">
        <is>
          <t>Пол отапливаемый</t>
        </is>
      </c>
      <c r="B5" s="39">
        <f>Комнаты!C11</f>
        <v/>
      </c>
      <c r="C5" s="12" t="inlineStr">
        <is>
          <t>м²</t>
        </is>
      </c>
      <c r="D5" s="12" t="inlineStr">
        <is>
          <t>Комнаты</t>
        </is>
      </c>
      <c r="E5" s="12" t="inlineStr">
        <is>
          <t>без террасы</t>
        </is>
      </c>
    </row>
    <row r="6">
      <c r="A6" s="7" t="inlineStr">
        <is>
          <t>Потолок скатный весь</t>
        </is>
      </c>
      <c r="B6" s="40">
        <f>Комнаты!D11</f>
        <v/>
      </c>
      <c r="C6" s="7" t="inlineStr">
        <is>
          <t>м²</t>
        </is>
      </c>
      <c r="D6" s="7" t="inlineStr">
        <is>
          <t>Комнаты</t>
        </is>
      </c>
      <c r="E6" s="7" t="inlineStr">
        <is>
          <t>пол / cos25°</t>
        </is>
      </c>
    </row>
    <row r="7">
      <c r="A7" s="12" t="inlineStr">
        <is>
          <t>Стены к отделке, все</t>
        </is>
      </c>
      <c r="B7" s="39">
        <f>Стены!F19</f>
        <v/>
      </c>
      <c r="C7" s="12" t="inlineStr">
        <is>
          <t>м²</t>
        </is>
      </c>
      <c r="D7" s="12" t="inlineStr">
        <is>
          <t>Стены</t>
        </is>
      </c>
      <c r="E7" s="12" t="inlineStr">
        <is>
          <t>проёмы вычтены</t>
        </is>
      </c>
    </row>
    <row r="8">
      <c r="A8" s="7" t="inlineStr">
        <is>
          <t>Стены под МДФ</t>
        </is>
      </c>
      <c r="B8" s="40">
        <f>Стены!F20</f>
        <v/>
      </c>
      <c r="C8" s="7" t="inlineStr">
        <is>
          <t>м²</t>
        </is>
      </c>
      <c r="D8" s="7" t="inlineStr">
        <is>
          <t>Стены</t>
        </is>
      </c>
      <c r="E8" s="7" t="inlineStr">
        <is>
          <t>жилая зона</t>
        </is>
      </c>
    </row>
    <row r="9">
      <c r="A9" s="12" t="inlineStr">
        <is>
          <t>Стены с/у под плитку</t>
        </is>
      </c>
      <c r="B9" s="39">
        <f>Стены!F21</f>
        <v/>
      </c>
      <c r="C9" s="12" t="inlineStr">
        <is>
          <t>м²</t>
        </is>
      </c>
      <c r="D9" s="12" t="inlineStr">
        <is>
          <t>Стены</t>
        </is>
      </c>
      <c r="E9" s="12" t="inlineStr">
        <is>
          <t>внутри мокрой</t>
        </is>
      </c>
    </row>
    <row r="10">
      <c r="A10" s="7" t="inlineStr">
        <is>
          <t>МДФ стены + потолки</t>
        </is>
      </c>
      <c r="B10" s="40">
        <f>Обшивка!B7</f>
        <v/>
      </c>
      <c r="C10" s="7" t="inlineStr">
        <is>
          <t>м²</t>
        </is>
      </c>
      <c r="D10" s="7" t="inlineStr">
        <is>
          <t>Обшивка</t>
        </is>
      </c>
      <c r="E10" s="7" t="inlineStr">
        <is>
          <t>без запаса</t>
        </is>
      </c>
    </row>
    <row r="11">
      <c r="A11" s="12" t="inlineStr">
        <is>
          <t>МДФ к закупке с запасом</t>
        </is>
      </c>
      <c r="B11" s="39">
        <f>Обшивка!F7</f>
        <v/>
      </c>
      <c r="C11" s="12" t="inlineStr">
        <is>
          <t>м²</t>
        </is>
      </c>
      <c r="D11" s="12" t="inlineStr">
        <is>
          <t>Обшивка</t>
        </is>
      </c>
      <c r="E11" s="12" t="inlineStr">
        <is>
          <t>10% стены / 15% скаты</t>
        </is>
      </c>
    </row>
    <row r="12">
      <c r="A12" s="7" t="inlineStr">
        <is>
          <t>Остекление окон</t>
        </is>
      </c>
      <c r="B12" s="40">
        <f>Окна!G15</f>
        <v/>
      </c>
      <c r="C12" s="7" t="inlineStr">
        <is>
          <t>м²</t>
        </is>
      </c>
      <c r="D12" s="7" t="inlineStr">
        <is>
          <t>Окна</t>
        </is>
      </c>
      <c r="E12" s="7" t="inlineStr">
        <is>
          <t>не покупать</t>
        </is>
      </c>
    </row>
    <row r="13">
      <c r="A13" s="12" t="inlineStr">
        <is>
          <t>Светопрозрачные всего (окна+ДН-4)</t>
        </is>
      </c>
      <c r="B13" s="39">
        <f>Окна!G17</f>
        <v/>
      </c>
      <c r="C13" s="12" t="inlineStr">
        <is>
          <t>м²</t>
        </is>
      </c>
      <c r="D13" s="12" t="inlineStr">
        <is>
          <t>Окна</t>
        </is>
      </c>
      <c r="E13" s="12" t="inlineStr">
        <is>
          <t>не покупать</t>
        </is>
      </c>
    </row>
    <row r="14">
      <c r="A14" s="7" t="inlineStr">
        <is>
          <t>Проёмы дверей</t>
        </is>
      </c>
      <c r="B14" s="40">
        <f>Двери!G9</f>
        <v/>
      </c>
      <c r="C14" s="7" t="inlineStr">
        <is>
          <t>м²</t>
        </is>
      </c>
      <c r="D14" s="7" t="inlineStr">
        <is>
          <t>Двери</t>
        </is>
      </c>
      <c r="E14" s="7" t="inlineStr">
        <is>
          <t>не покупать</t>
        </is>
      </c>
    </row>
    <row r="15">
      <c r="A15" s="12" t="inlineStr">
        <is>
          <t>Тёплый пол, пластины к закупке</t>
        </is>
      </c>
      <c r="B15" s="39">
        <f>Теплый_пол!B12</f>
        <v/>
      </c>
      <c r="C15" s="12" t="inlineStr">
        <is>
          <t>шт</t>
        </is>
      </c>
      <c r="D15" s="12" t="inlineStr">
        <is>
          <t>Теплый_пол</t>
        </is>
      </c>
      <c r="E15" s="12" t="inlineStr">
        <is>
          <t>кратно 40</t>
        </is>
      </c>
    </row>
    <row r="16">
      <c r="A16" s="7" t="inlineStr">
        <is>
          <t>Труба ТП 16 мм</t>
        </is>
      </c>
      <c r="B16" s="40">
        <f>Теплый_пол!B14</f>
        <v/>
      </c>
      <c r="C16" s="7" t="inlineStr">
        <is>
          <t>м</t>
        </is>
      </c>
      <c r="D16" s="7" t="inlineStr">
        <is>
          <t>Теплый_пол</t>
        </is>
      </c>
      <c r="E16" s="7" t="inlineStr">
        <is>
          <t>+10%</t>
        </is>
      </c>
    </row>
    <row r="17">
      <c r="A17" s="12" t="inlineStr">
        <is>
          <t>Периметр жилых комнат (плинтус)</t>
        </is>
      </c>
      <c r="B17" s="39">
        <f>Обшивка!B14</f>
        <v/>
      </c>
      <c r="C17" s="12" t="inlineStr">
        <is>
          <t>м.п.</t>
        </is>
      </c>
      <c r="D17" s="12" t="inlineStr">
        <is>
          <t>Обшивка</t>
        </is>
      </c>
      <c r="E17" s="12" t="inlineStr">
        <is>
          <t>уже с запасом</t>
        </is>
      </c>
    </row>
    <row r="18">
      <c r="A18" s="7" t="inlineStr">
        <is>
          <t>Терраса — исключена</t>
        </is>
      </c>
      <c r="B18" s="40" t="n">
        <v>9.119999999999999</v>
      </c>
      <c r="C18" s="7" t="inlineStr">
        <is>
          <t>м²</t>
        </is>
      </c>
      <c r="D18" s="7" t="inlineStr">
        <is>
          <t>чертёж</t>
        </is>
      </c>
      <c r="E18" s="7" t="inlineStr">
        <is>
          <t>не трогаем</t>
        </is>
      </c>
    </row>
    <row r="21">
      <c r="A21" s="53" t="inlineStr">
        <is>
          <t>Что не считаем и почему: окна и двери установлены; наружные стены, пол и потолок уже утеплены и зашиты плёнкой; каркасы перегородок стоят; терраса вне объёма.</t>
        </is>
      </c>
    </row>
    <row r="22"/>
    <row r="23"/>
  </sheetData>
  <mergeCells count="3">
    <mergeCell ref="A2:E2"/>
    <mergeCell ref="A1:E1"/>
    <mergeCell ref="A21:E23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2026-09-07T17:27:07Z</dcterms:created>
  <dcterms:modified xsi:type="dcterms:W3CDTF">2026-09-07T17:27:08Z</dcterms:modified>
</cp:coreProperties>
</file>