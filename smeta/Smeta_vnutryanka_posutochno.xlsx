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Сводка по разделам" sheetId="2" state="visible" r:id="rId2"/>
    <sheet name="Обстановка по комнатам" sheetId="3" state="visible" r:id="rId3"/>
    <sheet name="Исходные да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0" fontId="0" fillId="4" borderId="1" pivotButton="0" quotePrefix="0" xfId="0"/>
    <xf numFmtId="2" fontId="5" fillId="0" borderId="1" applyAlignment="1" pivotButton="0" quotePrefix="0" xfId="0">
      <alignment horizontal="center" vertical="center" wrapText="1"/>
    </xf>
    <xf numFmtId="0" fontId="7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0" fontId="2" fillId="5" borderId="1" pivotButton="0" quotePrefix="0" xfId="0"/>
    <xf numFmtId="0" fontId="1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бюджета (внутрянка)</a:t>
            </a:r>
          </a:p>
        </rich>
      </tx>
    </title>
    <plotArea>
      <pieChart>
        <varyColors val="1"/>
        <ser>
          <idx val="0"/>
          <order val="0"/>
          <tx>
            <strRef>
              <f>'Сводка по разделам'!B3</f>
            </strRef>
          </tx>
          <spPr>
            <a:ln>
              <a:prstDash val="solid"/>
            </a:ln>
          </spPr>
          <cat>
            <numRef>
              <f>'Сводка по разделам'!$A$4:$A$20</f>
            </numRef>
          </cat>
          <val>
            <numRef>
              <f>'Сводка по разделам'!$B$4:$B$20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 ht="32" customHeight="1">
      <c r="A1" s="1" t="inlineStr">
        <is>
          <t>СМЕТА ВНУТРЯНКИ — каркасный дом 6,12×10 м (жилая 43.36 м²) под посуточную сдачу</t>
        </is>
      </c>
    </row>
    <row r="2" ht="52" customHeight="1">
      <c r="A2" s="2" t="inlineStr">
        <is>
          <t>ТОЛЬКО ВНУТРЕННИЕ работы/материалы. Уже есть и НЕ включено: окна, витражи, терраса, наружный контур, кровля, фасад. Внутри — каркас перегородок. Отопление: электрические конвекторы. В смете — ТОЛЬКО материалы и комплектация (без стоимости работ). «Время монтажа» — ориентир, бригада 2 чел. Цены — средние розничные РФ, 2026 г.</t>
        </is>
      </c>
    </row>
    <row r="3" ht="32" customHeight="1">
      <c r="A3" s="2" t="inlineStr">
        <is>
          <t>Площади: прихожая 2.8 · с/у 3.32 · кухня-гостиная 18.82 · спальня1 9.21 · спальня2 9.21 м² | H потолка 2.5 м | перегородки L≈17.7 м · отделка стен ≈142.2 м² | полы/потолок 43.36 м²</t>
        </is>
      </c>
    </row>
    <row r="5" ht="28" customHeight="1">
      <c r="A5" s="3" t="inlineStr">
        <is>
          <t>№</t>
        </is>
      </c>
      <c r="B5" s="3" t="inlineStr">
        <is>
          <t>Название</t>
        </is>
      </c>
      <c r="C5" s="3" t="inlineStr">
        <is>
          <t>Объём</t>
        </is>
      </c>
      <c r="D5" s="3" t="inlineStr">
        <is>
          <t>Ед.</t>
        </is>
      </c>
      <c r="E5" s="3" t="inlineStr">
        <is>
          <t>Цена за ед., ₽</t>
        </is>
      </c>
      <c r="F5" s="3" t="inlineStr">
        <is>
          <t>Цена общая, ₽</t>
        </is>
      </c>
      <c r="G5" s="3" t="inlineStr">
        <is>
          <t>Время монтажа, дн</t>
        </is>
      </c>
      <c r="H5" s="3" t="inlineStr">
        <is>
          <t>Примечание</t>
        </is>
      </c>
    </row>
    <row r="6" ht="22" customHeight="1">
      <c r="A6" s="4" t="inlineStr">
        <is>
          <t>1. ОТДЕЛКА ПЕРЕГОРОДОК И СТЕН ИЗНУТРИ (каркас уже есть)</t>
        </is>
      </c>
      <c r="B6" s="5" t="n"/>
      <c r="C6" s="5" t="n"/>
      <c r="D6" s="5" t="n"/>
      <c r="E6" s="5" t="n"/>
      <c r="F6" s="5" t="n"/>
      <c r="G6" s="5" t="n"/>
      <c r="H6" s="5" t="n"/>
    </row>
    <row r="7" ht="32" customHeight="1">
      <c r="A7" s="6" t="n">
        <v>1</v>
      </c>
      <c r="B7" s="7" t="inlineStr">
        <is>
          <t>Минеральная вата 50 мм в перегородки (звукоизоляция)</t>
        </is>
      </c>
      <c r="C7" s="8" t="n">
        <v>22</v>
      </c>
      <c r="D7" s="6" t="inlineStr">
        <is>
          <t>м²</t>
        </is>
      </c>
      <c r="E7" s="9" t="n">
        <v>280</v>
      </c>
      <c r="F7" s="9" t="n">
        <v>6160</v>
      </c>
      <c r="G7" s="10" t="n">
        <v>0.5</v>
      </c>
      <c r="H7" s="7" t="inlineStr">
        <is>
          <t>перегородки ~17,7×2,5 м</t>
        </is>
      </c>
    </row>
    <row r="8" ht="20" customHeight="1">
      <c r="A8" s="6" t="n">
        <v>2</v>
      </c>
      <c r="B8" s="7" t="inlineStr">
        <is>
          <t>Пароизоляция / мембрана для перегородок</t>
        </is>
      </c>
      <c r="C8" s="8" t="n">
        <v>50</v>
      </c>
      <c r="D8" s="6" t="inlineStr">
        <is>
          <t>м²</t>
        </is>
      </c>
      <c r="E8" s="9" t="n">
        <v>45</v>
      </c>
      <c r="F8" s="9" t="n">
        <v>2250</v>
      </c>
      <c r="G8" s="10" t="n">
        <v>0.3</v>
      </c>
      <c r="H8" s="7" t="inlineStr">
        <is>
          <t>с нахлёстом</t>
        </is>
      </c>
    </row>
    <row r="9" ht="20" customHeight="1">
      <c r="A9" s="6" t="n">
        <v>3</v>
      </c>
      <c r="B9" s="7" t="inlineStr">
        <is>
          <t>Гипсокартон ГКЛ 12,5 мм (стены сухие)</t>
        </is>
      </c>
      <c r="C9" s="8" t="n">
        <v>95</v>
      </c>
      <c r="D9" s="6" t="inlineStr">
        <is>
          <t>м²</t>
        </is>
      </c>
      <c r="E9" s="9" t="n">
        <v>320</v>
      </c>
      <c r="F9" s="9" t="n">
        <v>30400</v>
      </c>
      <c r="G9" s="10" t="n">
        <v>2</v>
      </c>
      <c r="H9" s="7" t="inlineStr">
        <is>
          <t>обе стороны перегородок + внутр. сторона наружных стен</t>
        </is>
      </c>
    </row>
    <row r="10" ht="20" customHeight="1">
      <c r="A10" s="6" t="n">
        <v>4</v>
      </c>
      <c r="B10" s="7" t="inlineStr">
        <is>
          <t>Гипсокартон ГКЛВ 12,5 мм влагостойкий (с/у)</t>
        </is>
      </c>
      <c r="C10" s="8" t="n">
        <v>28</v>
      </c>
      <c r="D10" s="6" t="inlineStr">
        <is>
          <t>м²</t>
        </is>
      </c>
      <c r="E10" s="9" t="n">
        <v>420</v>
      </c>
      <c r="F10" s="9" t="n">
        <v>11760</v>
      </c>
      <c r="G10" s="10" t="n">
        <v>0.5</v>
      </c>
      <c r="H10" s="7" t="inlineStr">
        <is>
          <t>стены санузла</t>
        </is>
      </c>
    </row>
    <row r="11" ht="32" customHeight="1">
      <c r="A11" s="6" t="n">
        <v>5</v>
      </c>
      <c r="B11" s="7" t="inlineStr">
        <is>
          <t>Профиль/брусок доборный, саморезы, лента, уголки</t>
        </is>
      </c>
      <c r="C11" s="8" t="n">
        <v>1</v>
      </c>
      <c r="D11" s="6" t="inlineStr">
        <is>
          <t>компл.</t>
        </is>
      </c>
      <c r="E11" s="9" t="n">
        <v>12000</v>
      </c>
      <c r="F11" s="9" t="n">
        <v>12000</v>
      </c>
      <c r="G11" s="10" t="n">
        <v>0</v>
      </c>
      <c r="H11" s="7" t="inlineStr">
        <is>
          <t>крепёж к существующему каркасу</t>
        </is>
      </c>
    </row>
    <row r="12" ht="20" customHeight="1">
      <c r="A12" s="6" t="n">
        <v>6</v>
      </c>
      <c r="B12" s="7" t="inlineStr">
        <is>
          <t>Серпянка, шпаклёвка стартовая + финишная</t>
        </is>
      </c>
      <c r="C12" s="8" t="n">
        <v>130</v>
      </c>
      <c r="D12" s="6" t="inlineStr">
        <is>
          <t>м²</t>
        </is>
      </c>
      <c r="E12" s="9" t="n">
        <v>180</v>
      </c>
      <c r="F12" s="9" t="n">
        <v>23400</v>
      </c>
      <c r="G12" s="10" t="n">
        <v>2.5</v>
      </c>
      <c r="H12" s="7" t="inlineStr">
        <is>
          <t>стены под покраску</t>
        </is>
      </c>
    </row>
    <row r="13" ht="20" customHeight="1">
      <c r="A13" s="6" t="n">
        <v>7</v>
      </c>
      <c r="B13" s="7" t="inlineStr">
        <is>
          <t>Грунт глубокого проникновения</t>
        </is>
      </c>
      <c r="C13" s="8" t="n">
        <v>130</v>
      </c>
      <c r="D13" s="6" t="inlineStr">
        <is>
          <t>м²</t>
        </is>
      </c>
      <c r="E13" s="9" t="n">
        <v>35</v>
      </c>
      <c r="F13" s="9" t="n">
        <v>4550</v>
      </c>
      <c r="G13" s="10" t="n">
        <v>0.3</v>
      </c>
      <c r="H13" s="7" t="inlineStr"/>
    </row>
    <row r="14" ht="20" customHeight="1">
      <c r="A14" s="6" t="n">
        <v>8</v>
      </c>
      <c r="B14" s="7" t="inlineStr">
        <is>
          <t>Краска интерьерная моющаяся (2 слоя)</t>
        </is>
      </c>
      <c r="C14" s="8" t="n">
        <v>120</v>
      </c>
      <c r="D14" s="6" t="inlineStr">
        <is>
          <t>м²</t>
        </is>
      </c>
      <c r="E14" s="9" t="n">
        <v>220</v>
      </c>
      <c r="F14" s="9" t="n">
        <v>26400</v>
      </c>
      <c r="G14" s="10" t="n">
        <v>1.5</v>
      </c>
      <c r="H14" s="7" t="inlineStr">
        <is>
          <t>гостиная, спальни, прихожая</t>
        </is>
      </c>
    </row>
    <row r="15" ht="20" customHeight="1">
      <c r="A15" s="6" t="n">
        <v>9</v>
      </c>
      <c r="B15" s="7" t="inlineStr">
        <is>
          <t>Уголки защитные ПВХ на внешние углы</t>
        </is>
      </c>
      <c r="C15" s="8" t="n">
        <v>30</v>
      </c>
      <c r="D15" s="6" t="inlineStr">
        <is>
          <t>м.п.</t>
        </is>
      </c>
      <c r="E15" s="9" t="n">
        <v>90</v>
      </c>
      <c r="F15" s="9" t="n">
        <v>2700</v>
      </c>
      <c r="G15" s="10" t="n">
        <v>0.2</v>
      </c>
      <c r="H15" s="7" t="inlineStr"/>
    </row>
    <row r="16" ht="32" customHeight="1">
      <c r="A16" s="6" t="n">
        <v>10</v>
      </c>
      <c r="B16" s="7" t="inlineStr">
        <is>
          <t>Откосы внутренние на окна (сэндвич/ГКЛ+уголок)</t>
        </is>
      </c>
      <c r="C16" s="8" t="n">
        <v>18</v>
      </c>
      <c r="D16" s="6" t="inlineStr">
        <is>
          <t>м.п.</t>
        </is>
      </c>
      <c r="E16" s="9" t="n">
        <v>450</v>
      </c>
      <c r="F16" s="9" t="n">
        <v>8100</v>
      </c>
      <c r="G16" s="10" t="n">
        <v>1</v>
      </c>
      <c r="H16" s="7" t="inlineStr">
        <is>
          <t>окна уже стоят — только внутр. отделка откосов</t>
        </is>
      </c>
    </row>
    <row r="17" ht="20" customHeight="1">
      <c r="A17" s="6" t="n">
        <v>11</v>
      </c>
      <c r="B17" s="7" t="inlineStr">
        <is>
          <t>Подоконники ПВХ белые</t>
        </is>
      </c>
      <c r="C17" s="8" t="n">
        <v>6</v>
      </c>
      <c r="D17" s="6" t="inlineStr">
        <is>
          <t>м.п.</t>
        </is>
      </c>
      <c r="E17" s="9" t="n">
        <v>1200</v>
      </c>
      <c r="F17" s="9" t="n">
        <v>7200</v>
      </c>
      <c r="G17" s="10" t="n">
        <v>0.5</v>
      </c>
      <c r="H17" s="7" t="inlineStr">
        <is>
          <t>если ещё не установлены</t>
        </is>
      </c>
    </row>
    <row r="18">
      <c r="A18" s="11" t="inlineStr">
        <is>
          <t>Итого: ОТДЕЛКА ПЕРЕГОРОДОК И СТЕН ИЗНУТРИ (каркас уже есть)</t>
        </is>
      </c>
      <c r="B18" s="12" t="n"/>
      <c r="C18" s="12" t="n"/>
      <c r="D18" s="12" t="n"/>
      <c r="E18" s="12" t="n"/>
      <c r="F18" s="13" t="n">
        <v>134920</v>
      </c>
      <c r="G18" s="14" t="n">
        <v>9.300000000000001</v>
      </c>
      <c r="H18" s="15" t="inlineStr"/>
    </row>
    <row r="20" ht="22" customHeight="1">
      <c r="A20" s="4" t="inlineStr">
        <is>
          <t>2. ПОТОЛКИ</t>
        </is>
      </c>
      <c r="B20" s="5" t="n"/>
      <c r="C20" s="5" t="n"/>
      <c r="D20" s="5" t="n"/>
      <c r="E20" s="5" t="n"/>
      <c r="F20" s="5" t="n"/>
      <c r="G20" s="5" t="n"/>
      <c r="H20" s="5" t="n"/>
    </row>
    <row r="21" ht="20" customHeight="1">
      <c r="A21" s="6" t="n">
        <v>12</v>
      </c>
      <c r="B21" s="7" t="inlineStr">
        <is>
          <t>Гипсокартон потолочный ГКЛ 9,5–12,5 мм</t>
        </is>
      </c>
      <c r="C21" s="8" t="n">
        <v>48</v>
      </c>
      <c r="D21" s="6" t="inlineStr">
        <is>
          <t>м²</t>
        </is>
      </c>
      <c r="E21" s="9" t="n">
        <v>300</v>
      </c>
      <c r="F21" s="9" t="n">
        <v>14400</v>
      </c>
      <c r="G21" s="10" t="n">
        <v>1.5</v>
      </c>
      <c r="H21" s="7" t="inlineStr">
        <is>
          <t>43.36 м² + запас</t>
        </is>
      </c>
    </row>
    <row r="22" ht="20" customHeight="1">
      <c r="A22" s="6" t="n">
        <v>13</v>
      </c>
      <c r="B22" s="7" t="inlineStr">
        <is>
          <t>Профиль потолочный CD/UD + подвесы</t>
        </is>
      </c>
      <c r="C22" s="8" t="n">
        <v>48</v>
      </c>
      <c r="D22" s="6" t="inlineStr">
        <is>
          <t>м²</t>
        </is>
      </c>
      <c r="E22" s="9" t="n">
        <v>250</v>
      </c>
      <c r="F22" s="9" t="n">
        <v>12000</v>
      </c>
      <c r="G22" s="10" t="n">
        <v>1</v>
      </c>
      <c r="H22" s="7" t="inlineStr">
        <is>
          <t>каркас потолка</t>
        </is>
      </c>
    </row>
    <row r="23" ht="20" customHeight="1">
      <c r="A23" s="6" t="n">
        <v>14</v>
      </c>
      <c r="B23" s="7" t="inlineStr">
        <is>
          <t>Шпаклёвка + грунт потолка</t>
        </is>
      </c>
      <c r="C23" s="8" t="n">
        <v>48</v>
      </c>
      <c r="D23" s="6" t="inlineStr">
        <is>
          <t>м²</t>
        </is>
      </c>
      <c r="E23" s="9" t="n">
        <v>150</v>
      </c>
      <c r="F23" s="9" t="n">
        <v>7200</v>
      </c>
      <c r="G23" s="10" t="n">
        <v>1</v>
      </c>
      <c r="H23" s="7" t="inlineStr"/>
    </row>
    <row r="24" ht="20" customHeight="1">
      <c r="A24" s="6" t="n">
        <v>15</v>
      </c>
      <c r="B24" s="7" t="inlineStr">
        <is>
          <t>Краска потолочная белая (2 слоя)</t>
        </is>
      </c>
      <c r="C24" s="8" t="n">
        <v>48</v>
      </c>
      <c r="D24" s="6" t="inlineStr">
        <is>
          <t>м²</t>
        </is>
      </c>
      <c r="E24" s="9" t="n">
        <v>160</v>
      </c>
      <c r="F24" s="9" t="n">
        <v>7680</v>
      </c>
      <c r="G24" s="10" t="n">
        <v>0.8</v>
      </c>
      <c r="H24" s="7" t="inlineStr"/>
    </row>
    <row r="25" ht="20" customHeight="1">
      <c r="A25" s="6" t="n">
        <v>16</v>
      </c>
      <c r="B25" s="7" t="inlineStr">
        <is>
          <t>Плинтус потолочный / галтель</t>
        </is>
      </c>
      <c r="C25" s="8" t="n">
        <v>40</v>
      </c>
      <c r="D25" s="6" t="inlineStr">
        <is>
          <t>м.п.</t>
        </is>
      </c>
      <c r="E25" s="9" t="n">
        <v>180</v>
      </c>
      <c r="F25" s="9" t="n">
        <v>7200</v>
      </c>
      <c r="G25" s="10" t="n">
        <v>0.5</v>
      </c>
      <c r="H25" s="7" t="inlineStr">
        <is>
          <t>периметр помещений</t>
        </is>
      </c>
    </row>
    <row r="26">
      <c r="A26" s="11" t="inlineStr">
        <is>
          <t>Итого: ПОТОЛКИ</t>
        </is>
      </c>
      <c r="B26" s="12" t="n"/>
      <c r="C26" s="12" t="n"/>
      <c r="D26" s="12" t="n"/>
      <c r="E26" s="12" t="n"/>
      <c r="F26" s="13" t="n">
        <v>48480</v>
      </c>
      <c r="G26" s="14" t="n">
        <v>4.8</v>
      </c>
      <c r="H26" s="15" t="inlineStr"/>
    </row>
    <row r="28" ht="22" customHeight="1">
      <c r="A28" s="4" t="inlineStr">
        <is>
          <t>3. ПОЛЫ</t>
        </is>
      </c>
      <c r="B28" s="5" t="n"/>
      <c r="C28" s="5" t="n"/>
      <c r="D28" s="5" t="n"/>
      <c r="E28" s="5" t="n"/>
      <c r="F28" s="5" t="n"/>
      <c r="G28" s="5" t="n"/>
      <c r="H28" s="5" t="n"/>
    </row>
    <row r="29" ht="32" customHeight="1">
      <c r="A29" s="6" t="n">
        <v>17</v>
      </c>
      <c r="B29" s="7" t="inlineStr">
        <is>
          <t>Фанера / ОСБ-3 18–21 мм выравнивающая (при необходимости)</t>
        </is>
      </c>
      <c r="C29" s="8" t="n">
        <v>48</v>
      </c>
      <c r="D29" s="6" t="inlineStr">
        <is>
          <t>м²</t>
        </is>
      </c>
      <c r="E29" s="9" t="n">
        <v>650</v>
      </c>
      <c r="F29" s="9" t="n">
        <v>31200</v>
      </c>
      <c r="G29" s="10" t="n">
        <v>1</v>
      </c>
      <c r="H29" s="7" t="inlineStr">
        <is>
          <t>уточнить по существующему черновому полу</t>
        </is>
      </c>
    </row>
    <row r="30" ht="20" customHeight="1">
      <c r="A30" s="6" t="n">
        <v>18</v>
      </c>
      <c r="B30" s="7" t="inlineStr">
        <is>
          <t>Подложка под ламинат 3 мм</t>
        </is>
      </c>
      <c r="C30" s="8" t="n">
        <v>40</v>
      </c>
      <c r="D30" s="6" t="inlineStr">
        <is>
          <t>м²</t>
        </is>
      </c>
      <c r="E30" s="9" t="n">
        <v>80</v>
      </c>
      <c r="F30" s="9" t="n">
        <v>3200</v>
      </c>
      <c r="G30" s="10" t="n">
        <v>0.2</v>
      </c>
      <c r="H30" s="7" t="inlineStr">
        <is>
          <t>без с/у</t>
        </is>
      </c>
    </row>
    <row r="31" ht="32" customHeight="1">
      <c r="A31" s="6" t="n">
        <v>19</v>
      </c>
      <c r="B31" s="7" t="inlineStr">
        <is>
          <t>Ламинат 33 кл. влагостойкий (жилые + прихожая)</t>
        </is>
      </c>
      <c r="C31" s="8" t="n">
        <v>44</v>
      </c>
      <c r="D31" s="6" t="inlineStr">
        <is>
          <t>м²</t>
        </is>
      </c>
      <c r="E31" s="9" t="n">
        <v>1200</v>
      </c>
      <c r="F31" s="9" t="n">
        <v>52800</v>
      </c>
      <c r="G31" s="10" t="n">
        <v>1.5</v>
      </c>
      <c r="H31" s="7" t="inlineStr">
        <is>
          <t>~40.04 м² + запас 10%</t>
        </is>
      </c>
    </row>
    <row r="32" ht="20" customHeight="1">
      <c r="A32" s="6" t="n">
        <v>20</v>
      </c>
      <c r="B32" s="7" t="inlineStr">
        <is>
          <t>Плинтус МДФ/ПВХ с кабель-каналом + уголки</t>
        </is>
      </c>
      <c r="C32" s="8" t="n">
        <v>45</v>
      </c>
      <c r="D32" s="6" t="inlineStr">
        <is>
          <t>м.п.</t>
        </is>
      </c>
      <c r="E32" s="9" t="n">
        <v>220</v>
      </c>
      <c r="F32" s="9" t="n">
        <v>9900</v>
      </c>
      <c r="G32" s="10" t="n">
        <v>0.5</v>
      </c>
      <c r="H32" s="7" t="inlineStr"/>
    </row>
    <row r="33" ht="20" customHeight="1">
      <c r="A33" s="6" t="n">
        <v>21</v>
      </c>
      <c r="B33" s="7" t="inlineStr">
        <is>
          <t>Порог / переход алюминиевый</t>
        </is>
      </c>
      <c r="C33" s="8" t="n">
        <v>4</v>
      </c>
      <c r="D33" s="6" t="inlineStr">
        <is>
          <t>шт.</t>
        </is>
      </c>
      <c r="E33" s="9" t="n">
        <v>450</v>
      </c>
      <c r="F33" s="9" t="n">
        <v>1800</v>
      </c>
      <c r="G33" s="10" t="n">
        <v>0.2</v>
      </c>
      <c r="H33" s="7" t="inlineStr"/>
    </row>
    <row r="34" ht="20" customHeight="1">
      <c r="A34" s="6" t="n">
        <v>22</v>
      </c>
      <c r="B34" s="7" t="inlineStr">
        <is>
          <t>Наливной пол тонкий в с/у</t>
        </is>
      </c>
      <c r="C34" s="8" t="n">
        <v>4</v>
      </c>
      <c r="D34" s="6" t="inlineStr">
        <is>
          <t>м²</t>
        </is>
      </c>
      <c r="E34" s="9" t="n">
        <v>450</v>
      </c>
      <c r="F34" s="9" t="n">
        <v>1800</v>
      </c>
      <c r="G34" s="10" t="n">
        <v>0.5</v>
      </c>
      <c r="H34" s="7" t="inlineStr">
        <is>
          <t>под плитку</t>
        </is>
      </c>
    </row>
    <row r="35" ht="20" customHeight="1">
      <c r="A35" s="6" t="n">
        <v>23</v>
      </c>
      <c r="B35" s="7" t="inlineStr">
        <is>
          <t>Гидроизоляция обмазочная пола с/у</t>
        </is>
      </c>
      <c r="C35" s="8" t="n">
        <v>8</v>
      </c>
      <c r="D35" s="6" t="inlineStr">
        <is>
          <t>м²</t>
        </is>
      </c>
      <c r="E35" s="9" t="n">
        <v>350</v>
      </c>
      <c r="F35" s="9" t="n">
        <v>2800</v>
      </c>
      <c r="G35" s="10" t="n">
        <v>0.5</v>
      </c>
      <c r="H35" s="7" t="inlineStr">
        <is>
          <t>пол + заход на стены 150 мм</t>
        </is>
      </c>
    </row>
    <row r="36">
      <c r="A36" s="11" t="inlineStr">
        <is>
          <t>Итого: ПОЛЫ</t>
        </is>
      </c>
      <c r="B36" s="12" t="n"/>
      <c r="C36" s="12" t="n"/>
      <c r="D36" s="12" t="n"/>
      <c r="E36" s="12" t="n"/>
      <c r="F36" s="13" t="n">
        <v>103500</v>
      </c>
      <c r="G36" s="14" t="n">
        <v>4.4</v>
      </c>
      <c r="H36" s="15" t="inlineStr"/>
    </row>
    <row r="38" ht="22" customHeight="1">
      <c r="A38" s="4" t="inlineStr">
        <is>
          <t>4. САНУЗЕЛ — плитка и гидроизоляция стен</t>
        </is>
      </c>
      <c r="B38" s="5" t="n"/>
      <c r="C38" s="5" t="n"/>
      <c r="D38" s="5" t="n"/>
      <c r="E38" s="5" t="n"/>
      <c r="F38" s="5" t="n"/>
      <c r="G38" s="5" t="n"/>
      <c r="H38" s="5" t="n"/>
    </row>
    <row r="39" ht="20" customHeight="1">
      <c r="A39" s="6" t="n">
        <v>24</v>
      </c>
      <c r="B39" s="7" t="inlineStr">
        <is>
          <t>Гидроизоляция стен с/у</t>
        </is>
      </c>
      <c r="C39" s="8" t="n">
        <v>18</v>
      </c>
      <c r="D39" s="6" t="inlineStr">
        <is>
          <t>м²</t>
        </is>
      </c>
      <c r="E39" s="9" t="n">
        <v>320</v>
      </c>
      <c r="F39" s="9" t="n">
        <v>5760</v>
      </c>
      <c r="G39" s="10" t="n">
        <v>0.5</v>
      </c>
      <c r="H39" s="7" t="inlineStr"/>
    </row>
    <row r="40" ht="20" customHeight="1">
      <c r="A40" s="6" t="n">
        <v>25</v>
      </c>
      <c r="B40" s="7" t="inlineStr">
        <is>
          <t>Плитка настенная 30×60</t>
        </is>
      </c>
      <c r="C40" s="8" t="n">
        <v>20</v>
      </c>
      <c r="D40" s="6" t="inlineStr">
        <is>
          <t>м²</t>
        </is>
      </c>
      <c r="E40" s="9" t="n">
        <v>1100</v>
      </c>
      <c r="F40" s="9" t="n">
        <v>22000</v>
      </c>
      <c r="G40" s="10" t="n">
        <v>1.5</v>
      </c>
      <c r="H40" s="7" t="inlineStr">
        <is>
          <t>стены с/у + запас</t>
        </is>
      </c>
    </row>
    <row r="41" ht="20" customHeight="1">
      <c r="A41" s="6" t="n">
        <v>26</v>
      </c>
      <c r="B41" s="7" t="inlineStr">
        <is>
          <t>Керамогранит на пол 60×60</t>
        </is>
      </c>
      <c r="C41" s="8" t="n">
        <v>4</v>
      </c>
      <c r="D41" s="6" t="inlineStr">
        <is>
          <t>м²</t>
        </is>
      </c>
      <c r="E41" s="9" t="n">
        <v>1400</v>
      </c>
      <c r="F41" s="9" t="n">
        <v>5600</v>
      </c>
      <c r="G41" s="10" t="n">
        <v>0.5</v>
      </c>
      <c r="H41" s="7" t="inlineStr">
        <is>
          <t>с/у 3.32 м² + запас</t>
        </is>
      </c>
    </row>
    <row r="42" ht="20" customHeight="1">
      <c r="A42" s="6" t="n">
        <v>27</v>
      </c>
      <c r="B42" s="7" t="inlineStr">
        <is>
          <t>Клей + затирка + крестики + уголки</t>
        </is>
      </c>
      <c r="C42" s="8" t="n">
        <v>1</v>
      </c>
      <c r="D42" s="6" t="inlineStr">
        <is>
          <t>компл.</t>
        </is>
      </c>
      <c r="E42" s="9" t="n">
        <v>6500</v>
      </c>
      <c r="F42" s="9" t="n">
        <v>6500</v>
      </c>
      <c r="G42" s="10" t="n">
        <v>0</v>
      </c>
      <c r="H42" s="7" t="inlineStr"/>
    </row>
    <row r="43" ht="20" customHeight="1">
      <c r="A43" s="6" t="n">
        <v>28</v>
      </c>
      <c r="B43" s="7" t="inlineStr">
        <is>
          <t>Ревизионный люк</t>
        </is>
      </c>
      <c r="C43" s="8" t="n">
        <v>1</v>
      </c>
      <c r="D43" s="6" t="inlineStr">
        <is>
          <t>шт.</t>
        </is>
      </c>
      <c r="E43" s="9" t="n">
        <v>2500</v>
      </c>
      <c r="F43" s="9" t="n">
        <v>2500</v>
      </c>
      <c r="G43" s="10" t="n">
        <v>0.2</v>
      </c>
      <c r="H43" s="7" t="inlineStr"/>
    </row>
    <row r="44">
      <c r="A44" s="11" t="inlineStr">
        <is>
          <t>Итого: САНУЗЕЛ — плитка и гидроизоляция стен</t>
        </is>
      </c>
      <c r="B44" s="12" t="n"/>
      <c r="C44" s="12" t="n"/>
      <c r="D44" s="12" t="n"/>
      <c r="E44" s="12" t="n"/>
      <c r="F44" s="13" t="n">
        <v>42360</v>
      </c>
      <c r="G44" s="14" t="n">
        <v>2.7</v>
      </c>
      <c r="H44" s="15" t="inlineStr"/>
    </row>
    <row r="46" ht="22" customHeight="1">
      <c r="A46" s="4" t="inlineStr">
        <is>
          <t>5. ДВЕРИ МЕЖКОМНАТНЫЕ</t>
        </is>
      </c>
      <c r="B46" s="5" t="n"/>
      <c r="C46" s="5" t="n"/>
      <c r="D46" s="5" t="n"/>
      <c r="E46" s="5" t="n"/>
      <c r="F46" s="5" t="n"/>
      <c r="G46" s="5" t="n"/>
      <c r="H46" s="5" t="n"/>
    </row>
    <row r="47" ht="32" customHeight="1">
      <c r="A47" s="6" t="n">
        <v>29</v>
      </c>
      <c r="B47" s="7" t="inlineStr">
        <is>
          <t>Дверь экошпон + коробка + наличники (ДВ-1 с/у)</t>
        </is>
      </c>
      <c r="C47" s="8" t="n">
        <v>1</v>
      </c>
      <c r="D47" s="6" t="inlineStr">
        <is>
          <t>компл.</t>
        </is>
      </c>
      <c r="E47" s="9" t="n">
        <v>12000</v>
      </c>
      <c r="F47" s="9" t="n">
        <v>12000</v>
      </c>
      <c r="G47" s="10" t="n">
        <v>0.3</v>
      </c>
      <c r="H47" s="7" t="inlineStr">
        <is>
          <t>влагостойкая, ~700 мм</t>
        </is>
      </c>
    </row>
    <row r="48" ht="20" customHeight="1">
      <c r="A48" s="6" t="n">
        <v>30</v>
      </c>
      <c r="B48" s="7" t="inlineStr">
        <is>
          <t>Дверь экошпон (ДВ-2 спальня 1)</t>
        </is>
      </c>
      <c r="C48" s="8" t="n">
        <v>1</v>
      </c>
      <c r="D48" s="6" t="inlineStr">
        <is>
          <t>компл.</t>
        </is>
      </c>
      <c r="E48" s="9" t="n">
        <v>11000</v>
      </c>
      <c r="F48" s="9" t="n">
        <v>11000</v>
      </c>
      <c r="G48" s="10" t="n">
        <v>0.3</v>
      </c>
      <c r="H48" s="7" t="inlineStr">
        <is>
          <t>проём ~800</t>
        </is>
      </c>
    </row>
    <row r="49" ht="20" customHeight="1">
      <c r="A49" s="6" t="n">
        <v>31</v>
      </c>
      <c r="B49" s="7" t="inlineStr">
        <is>
          <t>Дверь экошпон (ДВ-3 спальня 2)</t>
        </is>
      </c>
      <c r="C49" s="8" t="n">
        <v>1</v>
      </c>
      <c r="D49" s="6" t="inlineStr">
        <is>
          <t>компл.</t>
        </is>
      </c>
      <c r="E49" s="9" t="n">
        <v>11000</v>
      </c>
      <c r="F49" s="9" t="n">
        <v>11000</v>
      </c>
      <c r="G49" s="10" t="n">
        <v>0.3</v>
      </c>
      <c r="H49" s="7" t="inlineStr">
        <is>
          <t>проём ~800</t>
        </is>
      </c>
    </row>
    <row r="50" ht="20" customHeight="1">
      <c r="A50" s="6" t="n">
        <v>32</v>
      </c>
      <c r="B50" s="7" t="inlineStr">
        <is>
          <t>Ручки + защёлки/замки на 3 двери</t>
        </is>
      </c>
      <c r="C50" s="8" t="n">
        <v>3</v>
      </c>
      <c r="D50" s="6" t="inlineStr">
        <is>
          <t>компл.</t>
        </is>
      </c>
      <c r="E50" s="9" t="n">
        <v>1800</v>
      </c>
      <c r="F50" s="9" t="n">
        <v>5400</v>
      </c>
      <c r="G50" s="10" t="n">
        <v>0.2</v>
      </c>
      <c r="H50" s="7" t="inlineStr">
        <is>
          <t>замок на с/у</t>
        </is>
      </c>
    </row>
    <row r="51">
      <c r="A51" s="11" t="inlineStr">
        <is>
          <t>Итого: ДВЕРИ МЕЖКОМНАТНЫЕ</t>
        </is>
      </c>
      <c r="B51" s="12" t="n"/>
      <c r="C51" s="12" t="n"/>
      <c r="D51" s="12" t="n"/>
      <c r="E51" s="12" t="n"/>
      <c r="F51" s="13" t="n">
        <v>39400</v>
      </c>
      <c r="G51" s="14" t="n">
        <v>1.1</v>
      </c>
      <c r="H51" s="15" t="inlineStr"/>
    </row>
    <row r="53" ht="22" customHeight="1">
      <c r="A53" s="4" t="inlineStr">
        <is>
          <t>6. ЭЛЕКТРИКА ВНУТРЕННЯЯ (материалы)</t>
        </is>
      </c>
      <c r="B53" s="5" t="n"/>
      <c r="C53" s="5" t="n"/>
      <c r="D53" s="5" t="n"/>
      <c r="E53" s="5" t="n"/>
      <c r="F53" s="5" t="n"/>
      <c r="G53" s="5" t="n"/>
      <c r="H53" s="5" t="n"/>
    </row>
    <row r="54" ht="20" customHeight="1">
      <c r="A54" s="6" t="n">
        <v>33</v>
      </c>
      <c r="B54" s="7" t="inlineStr">
        <is>
          <t>Кабель ВВГнг-LS 3×2,5 (розетки + конвекторы)</t>
        </is>
      </c>
      <c r="C54" s="8" t="n">
        <v>140</v>
      </c>
      <c r="D54" s="6" t="inlineStr">
        <is>
          <t>м</t>
        </is>
      </c>
      <c r="E54" s="9" t="n">
        <v>95</v>
      </c>
      <c r="F54" s="9" t="n">
        <v>13300</v>
      </c>
      <c r="G54" s="10" t="n">
        <v>1.2</v>
      </c>
      <c r="H54" s="7" t="inlineStr">
        <is>
          <t>отдельные линии на конвекторы</t>
        </is>
      </c>
    </row>
    <row r="55" ht="20" customHeight="1">
      <c r="A55" s="6" t="n">
        <v>34</v>
      </c>
      <c r="B55" s="7" t="inlineStr">
        <is>
          <t>Кабель ВВГнг-LS 3×1,5 (освещение)</t>
        </is>
      </c>
      <c r="C55" s="8" t="n">
        <v>100</v>
      </c>
      <c r="D55" s="6" t="inlineStr">
        <is>
          <t>м</t>
        </is>
      </c>
      <c r="E55" s="9" t="n">
        <v>70</v>
      </c>
      <c r="F55" s="9" t="n">
        <v>7000</v>
      </c>
      <c r="G55" s="10" t="n">
        <v>0.8</v>
      </c>
      <c r="H55" s="7" t="inlineStr"/>
    </row>
    <row r="56" ht="20" customHeight="1">
      <c r="A56" s="6" t="n">
        <v>35</v>
      </c>
      <c r="B56" s="7" t="inlineStr">
        <is>
          <t>Кабель ВВГнг-LS 3×6 (ввод / плита)</t>
        </is>
      </c>
      <c r="C56" s="8" t="n">
        <v>20</v>
      </c>
      <c r="D56" s="6" t="inlineStr">
        <is>
          <t>м</t>
        </is>
      </c>
      <c r="E56" s="9" t="n">
        <v>220</v>
      </c>
      <c r="F56" s="9" t="n">
        <v>4400</v>
      </c>
      <c r="G56" s="10" t="n">
        <v>0.3</v>
      </c>
      <c r="H56" s="7" t="inlineStr"/>
    </row>
    <row r="57" ht="20" customHeight="1">
      <c r="A57" s="6" t="n">
        <v>36</v>
      </c>
      <c r="B57" s="7" t="inlineStr">
        <is>
          <t>Гофра / клипсы / кабель-канал</t>
        </is>
      </c>
      <c r="C57" s="8" t="n">
        <v>1</v>
      </c>
      <c r="D57" s="6" t="inlineStr">
        <is>
          <t>компл.</t>
        </is>
      </c>
      <c r="E57" s="9" t="n">
        <v>4500</v>
      </c>
      <c r="F57" s="9" t="n">
        <v>4500</v>
      </c>
      <c r="G57" s="10" t="n">
        <v>0</v>
      </c>
      <c r="H57" s="7" t="inlineStr"/>
    </row>
    <row r="58" ht="32" customHeight="1">
      <c r="A58" s="6" t="n">
        <v>37</v>
      </c>
      <c r="B58" s="7" t="inlineStr">
        <is>
          <t>Щит + автоматы + УЗО/диф. (с линиями на конвекторы)</t>
        </is>
      </c>
      <c r="C58" s="8" t="n">
        <v>1</v>
      </c>
      <c r="D58" s="6" t="inlineStr">
        <is>
          <t>компл.</t>
        </is>
      </c>
      <c r="E58" s="9" t="n">
        <v>22000</v>
      </c>
      <c r="F58" s="9" t="n">
        <v>22000</v>
      </c>
      <c r="G58" s="10" t="n">
        <v>0.6</v>
      </c>
      <c r="H58" s="7" t="inlineStr">
        <is>
          <t>отдельный автомат на каждый конвектор</t>
        </is>
      </c>
    </row>
    <row r="59" ht="20" customHeight="1">
      <c r="A59" s="6" t="n">
        <v>38</v>
      </c>
      <c r="B59" s="7" t="inlineStr">
        <is>
          <t>Розетки + выключатели</t>
        </is>
      </c>
      <c r="C59" s="8" t="n">
        <v>38</v>
      </c>
      <c r="D59" s="6" t="inlineStr">
        <is>
          <t>шт.</t>
        </is>
      </c>
      <c r="E59" s="9" t="n">
        <v>280</v>
      </c>
      <c r="F59" s="9" t="n">
        <v>10640</v>
      </c>
      <c r="G59" s="10" t="n">
        <v>1</v>
      </c>
      <c r="H59" s="7" t="inlineStr">
        <is>
          <t>в т.ч. силовые под конвекторы</t>
        </is>
      </c>
    </row>
    <row r="60" ht="20" customHeight="1">
      <c r="A60" s="6" t="n">
        <v>39</v>
      </c>
      <c r="B60" s="7" t="inlineStr">
        <is>
          <t>Подрозетники / распредкоробки</t>
        </is>
      </c>
      <c r="C60" s="8" t="n">
        <v>50</v>
      </c>
      <c r="D60" s="6" t="inlineStr">
        <is>
          <t>шт.</t>
        </is>
      </c>
      <c r="E60" s="9" t="n">
        <v>45</v>
      </c>
      <c r="F60" s="9" t="n">
        <v>2250</v>
      </c>
      <c r="G60" s="10" t="n">
        <v>0.3</v>
      </c>
      <c r="H60" s="7" t="inlineStr"/>
    </row>
    <row r="61" ht="20" customHeight="1">
      <c r="A61" s="6" t="n">
        <v>40</v>
      </c>
      <c r="B61" s="7" t="inlineStr">
        <is>
          <t>Светильники потолочные LED</t>
        </is>
      </c>
      <c r="C61" s="8" t="n">
        <v>8</v>
      </c>
      <c r="D61" s="6" t="inlineStr">
        <is>
          <t>шт.</t>
        </is>
      </c>
      <c r="E61" s="9" t="n">
        <v>2200</v>
      </c>
      <c r="F61" s="9" t="n">
        <v>17600</v>
      </c>
      <c r="G61" s="10" t="n">
        <v>0.5</v>
      </c>
      <c r="H61" s="7" t="inlineStr">
        <is>
          <t>гостиная, спальни, прихожая</t>
        </is>
      </c>
    </row>
    <row r="62" ht="20" customHeight="1">
      <c r="A62" s="6" t="n">
        <v>41</v>
      </c>
      <c r="B62" s="7" t="inlineStr">
        <is>
          <t>Подсветка LED кухня + БП</t>
        </is>
      </c>
      <c r="C62" s="8" t="n">
        <v>1</v>
      </c>
      <c r="D62" s="6" t="inlineStr">
        <is>
          <t>компл.</t>
        </is>
      </c>
      <c r="E62" s="9" t="n">
        <v>4500</v>
      </c>
      <c r="F62" s="9" t="n">
        <v>4500</v>
      </c>
      <c r="G62" s="10" t="n">
        <v>0.3</v>
      </c>
      <c r="H62" s="7" t="inlineStr"/>
    </row>
    <row r="63" ht="20" customHeight="1">
      <c r="A63" s="6" t="n">
        <v>42</v>
      </c>
      <c r="B63" s="7" t="inlineStr">
        <is>
          <t>Светильник IP44 (с/у)</t>
        </is>
      </c>
      <c r="C63" s="8" t="n">
        <v>2</v>
      </c>
      <c r="D63" s="6" t="inlineStr">
        <is>
          <t>шт.</t>
        </is>
      </c>
      <c r="E63" s="9" t="n">
        <v>1800</v>
      </c>
      <c r="F63" s="9" t="n">
        <v>3600</v>
      </c>
      <c r="G63" s="10" t="n">
        <v>0.2</v>
      </c>
      <c r="H63" s="7" t="inlineStr"/>
    </row>
    <row r="64" ht="20" customHeight="1">
      <c r="A64" s="6" t="n">
        <v>43</v>
      </c>
      <c r="B64" s="7" t="inlineStr">
        <is>
          <t>Тёплый пол электрический мат в с/у</t>
        </is>
      </c>
      <c r="C64" s="16" t="n">
        <v>3.5</v>
      </c>
      <c r="D64" s="6" t="inlineStr">
        <is>
          <t>м²</t>
        </is>
      </c>
      <c r="E64" s="9" t="n">
        <v>1800</v>
      </c>
      <c r="F64" s="9" t="n">
        <v>6300</v>
      </c>
      <c r="G64" s="10" t="n">
        <v>0.5</v>
      </c>
      <c r="H64" s="7" t="inlineStr"/>
    </row>
    <row r="65" ht="20" customHeight="1">
      <c r="A65" s="6" t="n">
        <v>44</v>
      </c>
      <c r="B65" s="7" t="inlineStr">
        <is>
          <t>Терморегулятор тёплого пола</t>
        </is>
      </c>
      <c r="C65" s="8" t="n">
        <v>1</v>
      </c>
      <c r="D65" s="6" t="inlineStr">
        <is>
          <t>шт.</t>
        </is>
      </c>
      <c r="E65" s="9" t="n">
        <v>3500</v>
      </c>
      <c r="F65" s="9" t="n">
        <v>3500</v>
      </c>
      <c r="G65" s="10" t="n">
        <v>0.1</v>
      </c>
      <c r="H65" s="7" t="inlineStr"/>
    </row>
    <row r="66" ht="32" customHeight="1">
      <c r="A66" s="6" t="n">
        <v>45</v>
      </c>
      <c r="B66" s="7" t="inlineStr">
        <is>
          <t>Умный замок / электронный на вход (внутр. установка)</t>
        </is>
      </c>
      <c r="C66" s="8" t="n">
        <v>1</v>
      </c>
      <c r="D66" s="6" t="inlineStr">
        <is>
          <t>шт.</t>
        </is>
      </c>
      <c r="E66" s="9" t="n">
        <v>15000</v>
      </c>
      <c r="F66" s="9" t="n">
        <v>15000</v>
      </c>
      <c r="G66" s="10" t="n">
        <v>0.3</v>
      </c>
      <c r="H66" s="7" t="inlineStr">
        <is>
          <t>коды для гостей</t>
        </is>
      </c>
    </row>
    <row r="67" ht="20" customHeight="1">
      <c r="A67" s="6" t="n">
        <v>46</v>
      </c>
      <c r="B67" s="7" t="inlineStr">
        <is>
          <t>Звонок / видеодомофон простой</t>
        </is>
      </c>
      <c r="C67" s="8" t="n">
        <v>1</v>
      </c>
      <c r="D67" s="6" t="inlineStr">
        <is>
          <t>компл.</t>
        </is>
      </c>
      <c r="E67" s="9" t="n">
        <v>8000</v>
      </c>
      <c r="F67" s="9" t="n">
        <v>8000</v>
      </c>
      <c r="G67" s="10" t="n">
        <v>0.3</v>
      </c>
      <c r="H67" s="7" t="inlineStr"/>
    </row>
    <row r="68">
      <c r="A68" s="11" t="inlineStr">
        <is>
          <t>Итого: ЭЛЕКТРИКА ВНУТРЕННЯЯ (материалы)</t>
        </is>
      </c>
      <c r="B68" s="12" t="n"/>
      <c r="C68" s="12" t="n"/>
      <c r="D68" s="12" t="n"/>
      <c r="E68" s="12" t="n"/>
      <c r="F68" s="13" t="n">
        <v>122590</v>
      </c>
      <c r="G68" s="14" t="n">
        <v>6.4</v>
      </c>
      <c r="H68" s="15" t="inlineStr"/>
    </row>
    <row r="70" ht="22" customHeight="1">
      <c r="A70" s="4" t="inlineStr">
        <is>
          <t>7. ОТОПЛЕНИЕ — ЭЛЕКТРИЧЕСКИЕ КОНВЕКТОРЫ</t>
        </is>
      </c>
      <c r="B70" s="5" t="n"/>
      <c r="C70" s="5" t="n"/>
      <c r="D70" s="5" t="n"/>
      <c r="E70" s="5" t="n"/>
      <c r="F70" s="5" t="n"/>
      <c r="G70" s="5" t="n"/>
      <c r="H70" s="5" t="n"/>
    </row>
    <row r="71" ht="32" customHeight="1">
      <c r="A71" s="6" t="n">
        <v>47</v>
      </c>
      <c r="B71" s="7" t="inlineStr">
        <is>
          <t>Конвектор электрический 2,0 кВт с термостатом (кухня-гостиная)</t>
        </is>
      </c>
      <c r="C71" s="8" t="n">
        <v>2</v>
      </c>
      <c r="D71" s="6" t="inlineStr">
        <is>
          <t>шт.</t>
        </is>
      </c>
      <c r="E71" s="9" t="n">
        <v>9500</v>
      </c>
      <c r="F71" s="9" t="n">
        <v>19000</v>
      </c>
      <c r="G71" s="10" t="n">
        <v>0.4</v>
      </c>
      <c r="H71" s="7" t="inlineStr">
        <is>
          <t>комната 18.82 м² — 2 шт. по периметру</t>
        </is>
      </c>
    </row>
    <row r="72" ht="32" customHeight="1">
      <c r="A72" s="6" t="n">
        <v>48</v>
      </c>
      <c r="B72" s="7" t="inlineStr">
        <is>
          <t>Конвектор электрический 1,5 кВт с термостатом (спальня 1)</t>
        </is>
      </c>
      <c r="C72" s="8" t="n">
        <v>1</v>
      </c>
      <c r="D72" s="6" t="inlineStr">
        <is>
          <t>шт.</t>
        </is>
      </c>
      <c r="E72" s="9" t="n">
        <v>7500</v>
      </c>
      <c r="F72" s="9" t="n">
        <v>7500</v>
      </c>
      <c r="G72" s="10" t="n">
        <v>0.2</v>
      </c>
      <c r="H72" s="7" t="inlineStr">
        <is>
          <t>9.21 м²</t>
        </is>
      </c>
    </row>
    <row r="73" ht="32" customHeight="1">
      <c r="A73" s="6" t="n">
        <v>49</v>
      </c>
      <c r="B73" s="7" t="inlineStr">
        <is>
          <t>Конвектор электрический 1,5 кВт с термостатом (спальня 2)</t>
        </is>
      </c>
      <c r="C73" s="8" t="n">
        <v>1</v>
      </c>
      <c r="D73" s="6" t="inlineStr">
        <is>
          <t>шт.</t>
        </is>
      </c>
      <c r="E73" s="9" t="n">
        <v>7500</v>
      </c>
      <c r="F73" s="9" t="n">
        <v>7500</v>
      </c>
      <c r="G73" s="10" t="n">
        <v>0.2</v>
      </c>
      <c r="H73" s="7" t="inlineStr">
        <is>
          <t>9.21 м²</t>
        </is>
      </c>
    </row>
    <row r="74" ht="32" customHeight="1">
      <c r="A74" s="6" t="n">
        <v>50</v>
      </c>
      <c r="B74" s="7" t="inlineStr">
        <is>
          <t>Конвектор электрический 1,0 кВт (прихожая / запас)</t>
        </is>
      </c>
      <c r="C74" s="8" t="n">
        <v>1</v>
      </c>
      <c r="D74" s="6" t="inlineStr">
        <is>
          <t>шт.</t>
        </is>
      </c>
      <c r="E74" s="9" t="n">
        <v>6000</v>
      </c>
      <c r="F74" s="9" t="n">
        <v>6000</v>
      </c>
      <c r="G74" s="10" t="n">
        <v>0.2</v>
      </c>
      <c r="H74" s="7" t="inlineStr">
        <is>
          <t>2.8 м²</t>
        </is>
      </c>
    </row>
    <row r="75" ht="32" customHeight="1">
      <c r="A75" s="6" t="n">
        <v>51</v>
      </c>
      <c r="B75" s="7" t="inlineStr">
        <is>
          <t>Кронштейны / ножки настенного монтажа (в комплекте или добор)</t>
        </is>
      </c>
      <c r="C75" s="8" t="n">
        <v>5</v>
      </c>
      <c r="D75" s="6" t="inlineStr">
        <is>
          <t>компл.</t>
        </is>
      </c>
      <c r="E75" s="9" t="n">
        <v>800</v>
      </c>
      <c r="F75" s="9" t="n">
        <v>4000</v>
      </c>
      <c r="G75" s="10" t="n">
        <v>0.2</v>
      </c>
      <c r="H75" s="7" t="inlineStr"/>
    </row>
    <row r="76" ht="20" customHeight="1">
      <c r="A76" s="6" t="n">
        <v>52</v>
      </c>
      <c r="B76" s="7" t="inlineStr">
        <is>
          <t>Полотенцесушитель электрический в с/у</t>
        </is>
      </c>
      <c r="C76" s="8" t="n">
        <v>1</v>
      </c>
      <c r="D76" s="6" t="inlineStr">
        <is>
          <t>шт.</t>
        </is>
      </c>
      <c r="E76" s="9" t="n">
        <v>6500</v>
      </c>
      <c r="F76" s="9" t="n">
        <v>6500</v>
      </c>
      <c r="G76" s="10" t="n">
        <v>0.2</v>
      </c>
      <c r="H76" s="7" t="inlineStr"/>
    </row>
    <row r="77" ht="32" customHeight="1">
      <c r="A77" s="6" t="n">
        <v>53</v>
      </c>
      <c r="B77" s="7" t="inlineStr">
        <is>
          <t>Программатор / Wi-Fi модуль для конвекторов (опция)</t>
        </is>
      </c>
      <c r="C77" s="8" t="n">
        <v>3</v>
      </c>
      <c r="D77" s="6" t="inlineStr">
        <is>
          <t>шт.</t>
        </is>
      </c>
      <c r="E77" s="9" t="n">
        <v>3500</v>
      </c>
      <c r="F77" s="9" t="n">
        <v>10500</v>
      </c>
      <c r="G77" s="10" t="n">
        <v>0.3</v>
      </c>
      <c r="H77" s="7" t="inlineStr">
        <is>
          <t>удобно для посуточной — прогрев перед заездом</t>
        </is>
      </c>
    </row>
    <row r="78">
      <c r="A78" s="11" t="inlineStr">
        <is>
          <t>Итого: ОТОПЛЕНИЕ — ЭЛЕКТРИЧЕСКИЕ КОНВЕКТОРЫ</t>
        </is>
      </c>
      <c r="B78" s="12" t="n"/>
      <c r="C78" s="12" t="n"/>
      <c r="D78" s="12" t="n"/>
      <c r="E78" s="12" t="n"/>
      <c r="F78" s="13" t="n">
        <v>61000</v>
      </c>
      <c r="G78" s="14" t="n">
        <v>1.7</v>
      </c>
      <c r="H78" s="15" t="inlineStr"/>
    </row>
    <row r="80" ht="22" customHeight="1">
      <c r="A80" s="4" t="inlineStr">
        <is>
          <t>8. ВЕНТИЛЯЦИЯ И ВОДОСНАБЖЕНИЕ (внутренняя разводка)</t>
        </is>
      </c>
      <c r="B80" s="5" t="n"/>
      <c r="C80" s="5" t="n"/>
      <c r="D80" s="5" t="n"/>
      <c r="E80" s="5" t="n"/>
      <c r="F80" s="5" t="n"/>
      <c r="G80" s="5" t="n"/>
      <c r="H80" s="5" t="n"/>
    </row>
    <row r="81" ht="20" customHeight="1">
      <c r="A81" s="6" t="n">
        <v>54</v>
      </c>
      <c r="B81" s="7" t="inlineStr">
        <is>
          <t>Вентилятор вытяжной с/у + обратный клапан</t>
        </is>
      </c>
      <c r="C81" s="8" t="n">
        <v>1</v>
      </c>
      <c r="D81" s="6" t="inlineStr">
        <is>
          <t>шт.</t>
        </is>
      </c>
      <c r="E81" s="9" t="n">
        <v>2800</v>
      </c>
      <c r="F81" s="9" t="n">
        <v>2800</v>
      </c>
      <c r="G81" s="10" t="n">
        <v>0.2</v>
      </c>
      <c r="H81" s="7" t="inlineStr"/>
    </row>
    <row r="82" ht="32" customHeight="1">
      <c r="A82" s="6" t="n">
        <v>55</v>
      </c>
      <c r="B82" s="7" t="inlineStr">
        <is>
          <t>Приточный клапан стеновой (если нет проветривания окнами)</t>
        </is>
      </c>
      <c r="C82" s="8" t="n">
        <v>2</v>
      </c>
      <c r="D82" s="6" t="inlineStr">
        <is>
          <t>шт.</t>
        </is>
      </c>
      <c r="E82" s="9" t="n">
        <v>2500</v>
      </c>
      <c r="F82" s="9" t="n">
        <v>5000</v>
      </c>
      <c r="G82" s="10" t="n">
        <v>0.3</v>
      </c>
      <c r="H82" s="7" t="inlineStr">
        <is>
          <t>опция; окна уже есть</t>
        </is>
      </c>
    </row>
    <row r="83" ht="20" customHeight="1">
      <c r="A83" s="6" t="n">
        <v>56</v>
      </c>
      <c r="B83" s="7" t="inlineStr">
        <is>
          <t>Труба ППР/металлопласт + фитинги (ХВС/ГВС)</t>
        </is>
      </c>
      <c r="C83" s="8" t="n">
        <v>1</v>
      </c>
      <c r="D83" s="6" t="inlineStr">
        <is>
          <t>компл.</t>
        </is>
      </c>
      <c r="E83" s="9" t="n">
        <v>15000</v>
      </c>
      <c r="F83" s="9" t="n">
        <v>15000</v>
      </c>
      <c r="G83" s="10" t="n">
        <v>1.5</v>
      </c>
      <c r="H83" s="7" t="inlineStr">
        <is>
          <t>внутренняя разводка до точек</t>
        </is>
      </c>
    </row>
    <row r="84" ht="20" customHeight="1">
      <c r="A84" s="6" t="n">
        <v>57</v>
      </c>
      <c r="B84" s="7" t="inlineStr">
        <is>
          <t>Канализация ПВХ 50/110 + фитинги</t>
        </is>
      </c>
      <c r="C84" s="8" t="n">
        <v>1</v>
      </c>
      <c r="D84" s="6" t="inlineStr">
        <is>
          <t>компл.</t>
        </is>
      </c>
      <c r="E84" s="9" t="n">
        <v>8000</v>
      </c>
      <c r="F84" s="9" t="n">
        <v>8000</v>
      </c>
      <c r="G84" s="10" t="n">
        <v>1</v>
      </c>
      <c r="H84" s="7" t="inlineStr"/>
    </row>
    <row r="85" ht="20" customHeight="1">
      <c r="A85" s="6" t="n">
        <v>58</v>
      </c>
      <c r="B85" s="7" t="inlineStr">
        <is>
          <t>Водонагреватель накопительный 50–80 л</t>
        </is>
      </c>
      <c r="C85" s="8" t="n">
        <v>1</v>
      </c>
      <c r="D85" s="6" t="inlineStr">
        <is>
          <t>шт.</t>
        </is>
      </c>
      <c r="E85" s="9" t="n">
        <v>18000</v>
      </c>
      <c r="F85" s="9" t="n">
        <v>18000</v>
      </c>
      <c r="G85" s="10" t="n">
        <v>0.4</v>
      </c>
      <c r="H85" s="7" t="inlineStr">
        <is>
          <t>если нет ГВС</t>
        </is>
      </c>
    </row>
    <row r="86" ht="20" customHeight="1">
      <c r="A86" s="6" t="n">
        <v>59</v>
      </c>
      <c r="B86" s="7" t="inlineStr">
        <is>
          <t>Фильтр грубой очистки + редуктор</t>
        </is>
      </c>
      <c r="C86" s="8" t="n">
        <v>1</v>
      </c>
      <c r="D86" s="6" t="inlineStr">
        <is>
          <t>компл.</t>
        </is>
      </c>
      <c r="E86" s="9" t="n">
        <v>4500</v>
      </c>
      <c r="F86" s="9" t="n">
        <v>4500</v>
      </c>
      <c r="G86" s="10" t="n">
        <v>0.2</v>
      </c>
      <c r="H86" s="7" t="inlineStr"/>
    </row>
    <row r="87" ht="20" customHeight="1">
      <c r="A87" s="6" t="n">
        <v>60</v>
      </c>
      <c r="B87" s="7" t="inlineStr">
        <is>
          <t>Запорная арматура, подводки, сифоны</t>
        </is>
      </c>
      <c r="C87" s="8" t="n">
        <v>1</v>
      </c>
      <c r="D87" s="6" t="inlineStr">
        <is>
          <t>компл.</t>
        </is>
      </c>
      <c r="E87" s="9" t="n">
        <v>6000</v>
      </c>
      <c r="F87" s="9" t="n">
        <v>6000</v>
      </c>
      <c r="G87" s="10" t="n">
        <v>0.3</v>
      </c>
      <c r="H87" s="7" t="inlineStr"/>
    </row>
    <row r="88">
      <c r="A88" s="11" t="inlineStr">
        <is>
          <t>Итого: ВЕНТИЛЯЦИЯ И ВОДОСНАБЖЕНИЕ (внутренняя разводка)</t>
        </is>
      </c>
      <c r="B88" s="12" t="n"/>
      <c r="C88" s="12" t="n"/>
      <c r="D88" s="12" t="n"/>
      <c r="E88" s="12" t="n"/>
      <c r="F88" s="13" t="n">
        <v>59300</v>
      </c>
      <c r="G88" s="14" t="n">
        <v>3.9</v>
      </c>
      <c r="H88" s="15" t="inlineStr"/>
    </row>
    <row r="90" ht="22" customHeight="1">
      <c r="A90" s="4" t="inlineStr">
        <is>
          <t>9. САНТЕХНИКА С/У</t>
        </is>
      </c>
      <c r="B90" s="5" t="n"/>
      <c r="C90" s="5" t="n"/>
      <c r="D90" s="5" t="n"/>
      <c r="E90" s="5" t="n"/>
      <c r="F90" s="5" t="n"/>
      <c r="G90" s="5" t="n"/>
      <c r="H90" s="5" t="n"/>
    </row>
    <row r="91" ht="20" customHeight="1">
      <c r="A91" s="6" t="n">
        <v>61</v>
      </c>
      <c r="B91" s="7" t="inlineStr">
        <is>
          <t>Унитаз-компакт с микролифтом</t>
        </is>
      </c>
      <c r="C91" s="8" t="n">
        <v>1</v>
      </c>
      <c r="D91" s="6" t="inlineStr">
        <is>
          <t>шт.</t>
        </is>
      </c>
      <c r="E91" s="9" t="n">
        <v>14000</v>
      </c>
      <c r="F91" s="9" t="n">
        <v>14000</v>
      </c>
      <c r="G91" s="10" t="n">
        <v>0.4</v>
      </c>
      <c r="H91" s="7" t="inlineStr"/>
    </row>
    <row r="92" ht="20" customHeight="1">
      <c r="A92" s="6" t="n">
        <v>62</v>
      </c>
      <c r="B92" s="7" t="inlineStr">
        <is>
          <t>Раковина + тумба подвесная 50–60 см</t>
        </is>
      </c>
      <c r="C92" s="8" t="n">
        <v>1</v>
      </c>
      <c r="D92" s="6" t="inlineStr">
        <is>
          <t>компл.</t>
        </is>
      </c>
      <c r="E92" s="9" t="n">
        <v>16000</v>
      </c>
      <c r="F92" s="9" t="n">
        <v>16000</v>
      </c>
      <c r="G92" s="10" t="n">
        <v>0.4</v>
      </c>
      <c r="H92" s="7" t="inlineStr">
        <is>
          <t>габарит с/у 3,32 м²</t>
        </is>
      </c>
    </row>
    <row r="93" ht="20" customHeight="1">
      <c r="A93" s="6" t="n">
        <v>63</v>
      </c>
      <c r="B93" s="7" t="inlineStr">
        <is>
          <t>Смеситель раковины</t>
        </is>
      </c>
      <c r="C93" s="8" t="n">
        <v>1</v>
      </c>
      <c r="D93" s="6" t="inlineStr">
        <is>
          <t>шт.</t>
        </is>
      </c>
      <c r="E93" s="9" t="n">
        <v>4500</v>
      </c>
      <c r="F93" s="9" t="n">
        <v>4500</v>
      </c>
      <c r="G93" s="10" t="n">
        <v>0.1</v>
      </c>
      <c r="H93" s="7" t="inlineStr"/>
    </row>
    <row r="94" ht="20" customHeight="1">
      <c r="A94" s="6" t="n">
        <v>64</v>
      </c>
      <c r="B94" s="7" t="inlineStr">
        <is>
          <t>Душевая кабина / уголок 90×90 + поддон</t>
        </is>
      </c>
      <c r="C94" s="8" t="n">
        <v>1</v>
      </c>
      <c r="D94" s="6" t="inlineStr">
        <is>
          <t>компл.</t>
        </is>
      </c>
      <c r="E94" s="9" t="n">
        <v>28000</v>
      </c>
      <c r="F94" s="9" t="n">
        <v>28000</v>
      </c>
      <c r="G94" s="10" t="n">
        <v>0.8</v>
      </c>
      <c r="H94" s="7" t="inlineStr"/>
    </row>
    <row r="95" ht="20" customHeight="1">
      <c r="A95" s="6" t="n">
        <v>65</v>
      </c>
      <c r="B95" s="7" t="inlineStr">
        <is>
          <t>Смеситель душа / стойка (если не в комплекте)</t>
        </is>
      </c>
      <c r="C95" s="8" t="n">
        <v>1</v>
      </c>
      <c r="D95" s="6" t="inlineStr">
        <is>
          <t>компл.</t>
        </is>
      </c>
      <c r="E95" s="9" t="n">
        <v>5500</v>
      </c>
      <c r="F95" s="9" t="n">
        <v>5500</v>
      </c>
      <c r="G95" s="10" t="n">
        <v>0.2</v>
      </c>
      <c r="H95" s="7" t="inlineStr"/>
    </row>
    <row r="96" ht="20" customHeight="1">
      <c r="A96" s="6" t="n">
        <v>66</v>
      </c>
      <c r="B96" s="7" t="inlineStr">
        <is>
          <t>Зеркало / шкафчик зеркальный</t>
        </is>
      </c>
      <c r="C96" s="8" t="n">
        <v>1</v>
      </c>
      <c r="D96" s="6" t="inlineStr">
        <is>
          <t>шт.</t>
        </is>
      </c>
      <c r="E96" s="9" t="n">
        <v>7000</v>
      </c>
      <c r="F96" s="9" t="n">
        <v>7000</v>
      </c>
      <c r="G96" s="10" t="n">
        <v>0.2</v>
      </c>
      <c r="H96" s="7" t="inlineStr"/>
    </row>
    <row r="97" ht="20" customHeight="1">
      <c r="A97" s="6" t="n">
        <v>67</v>
      </c>
      <c r="B97" s="7" t="inlineStr">
        <is>
          <t>Аксессуары с/у (держатель, крючки, полка)</t>
        </is>
      </c>
      <c r="C97" s="8" t="n">
        <v>1</v>
      </c>
      <c r="D97" s="6" t="inlineStr">
        <is>
          <t>компл.</t>
        </is>
      </c>
      <c r="E97" s="9" t="n">
        <v>3500</v>
      </c>
      <c r="F97" s="9" t="n">
        <v>3500</v>
      </c>
      <c r="G97" s="10" t="n">
        <v>0.2</v>
      </c>
      <c r="H97" s="7" t="inlineStr"/>
    </row>
    <row r="98" ht="20" customHeight="1">
      <c r="A98" s="6" t="n">
        <v>68</v>
      </c>
      <c r="B98" s="7" t="inlineStr">
        <is>
          <t>Корзина для белья</t>
        </is>
      </c>
      <c r="C98" s="8" t="n">
        <v>1</v>
      </c>
      <c r="D98" s="6" t="inlineStr">
        <is>
          <t>шт.</t>
        </is>
      </c>
      <c r="E98" s="9" t="n">
        <v>2000</v>
      </c>
      <c r="F98" s="9" t="n">
        <v>2000</v>
      </c>
      <c r="G98" s="10" t="n">
        <v>0</v>
      </c>
      <c r="H98" s="7" t="inlineStr"/>
    </row>
    <row r="99">
      <c r="A99" s="11" t="inlineStr">
        <is>
          <t>Итого: САНТЕХНИКА С/У</t>
        </is>
      </c>
      <c r="B99" s="12" t="n"/>
      <c r="C99" s="12" t="n"/>
      <c r="D99" s="12" t="n"/>
      <c r="E99" s="12" t="n"/>
      <c r="F99" s="13" t="n">
        <v>80500</v>
      </c>
      <c r="G99" s="14" t="n">
        <v>2.3</v>
      </c>
      <c r="H99" s="15" t="inlineStr"/>
    </row>
    <row r="101" ht="22" customHeight="1">
      <c r="A101" s="4" t="inlineStr">
        <is>
          <t>10. КУХНЯ (мебель + техника)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 ht="32" customHeight="1">
      <c r="A102" s="6" t="n">
        <v>69</v>
      </c>
      <c r="B102" s="7" t="inlineStr">
        <is>
          <t>Кухонный гарнитур 2,4–2,7 м (корпуса + фасады)</t>
        </is>
      </c>
      <c r="C102" s="8" t="n">
        <v>1</v>
      </c>
      <c r="D102" s="6" t="inlineStr">
        <is>
          <t>компл.</t>
        </is>
      </c>
      <c r="E102" s="9" t="n">
        <v>85000</v>
      </c>
      <c r="F102" s="9" t="n">
        <v>85000</v>
      </c>
      <c r="G102" s="10" t="n">
        <v>1.5</v>
      </c>
      <c r="H102" s="7" t="inlineStr"/>
    </row>
    <row r="103" ht="20" customHeight="1">
      <c r="A103" s="6" t="n">
        <v>70</v>
      </c>
      <c r="B103" s="7" t="inlineStr">
        <is>
          <t>Столешница + плинтус</t>
        </is>
      </c>
      <c r="C103" s="8" t="n">
        <v>3</v>
      </c>
      <c r="D103" s="6" t="inlineStr">
        <is>
          <t>м.п.</t>
        </is>
      </c>
      <c r="E103" s="9" t="n">
        <v>6500</v>
      </c>
      <c r="F103" s="9" t="n">
        <v>19500</v>
      </c>
      <c r="G103" s="10" t="n">
        <v>0.3</v>
      </c>
      <c r="H103" s="7" t="inlineStr"/>
    </row>
    <row r="104" ht="20" customHeight="1">
      <c r="A104" s="6" t="n">
        <v>71</v>
      </c>
      <c r="B104" s="7" t="inlineStr">
        <is>
          <t>Мойка нерж. + смеситель кухня</t>
        </is>
      </c>
      <c r="C104" s="8" t="n">
        <v>1</v>
      </c>
      <c r="D104" s="6" t="inlineStr">
        <is>
          <t>компл.</t>
        </is>
      </c>
      <c r="E104" s="9" t="n">
        <v>12000</v>
      </c>
      <c r="F104" s="9" t="n">
        <v>12000</v>
      </c>
      <c r="G104" s="10" t="n">
        <v>0.3</v>
      </c>
      <c r="H104" s="7" t="inlineStr"/>
    </row>
    <row r="105" ht="20" customHeight="1">
      <c r="A105" s="6" t="n">
        <v>72</v>
      </c>
      <c r="B105" s="7" t="inlineStr">
        <is>
          <t>Варочная панель электрическая 4 конф.</t>
        </is>
      </c>
      <c r="C105" s="8" t="n">
        <v>1</v>
      </c>
      <c r="D105" s="6" t="inlineStr">
        <is>
          <t>шт.</t>
        </is>
      </c>
      <c r="E105" s="9" t="n">
        <v>18000</v>
      </c>
      <c r="F105" s="9" t="n">
        <v>18000</v>
      </c>
      <c r="G105" s="10" t="n">
        <v>0.2</v>
      </c>
      <c r="H105" s="7" t="inlineStr"/>
    </row>
    <row r="106" ht="20" customHeight="1">
      <c r="A106" s="6" t="n">
        <v>73</v>
      </c>
      <c r="B106" s="7" t="inlineStr">
        <is>
          <t>Духовой шкаф электрический</t>
        </is>
      </c>
      <c r="C106" s="8" t="n">
        <v>1</v>
      </c>
      <c r="D106" s="6" t="inlineStr">
        <is>
          <t>шт.</t>
        </is>
      </c>
      <c r="E106" s="9" t="n">
        <v>28000</v>
      </c>
      <c r="F106" s="9" t="n">
        <v>28000</v>
      </c>
      <c r="G106" s="10" t="n">
        <v>0.3</v>
      </c>
      <c r="H106" s="7" t="inlineStr"/>
    </row>
    <row r="107" ht="20" customHeight="1">
      <c r="A107" s="6" t="n">
        <v>74</v>
      </c>
      <c r="B107" s="7" t="inlineStr">
        <is>
          <t>Вытяжка</t>
        </is>
      </c>
      <c r="C107" s="8" t="n">
        <v>1</v>
      </c>
      <c r="D107" s="6" t="inlineStr">
        <is>
          <t>шт.</t>
        </is>
      </c>
      <c r="E107" s="9" t="n">
        <v>12000</v>
      </c>
      <c r="F107" s="9" t="n">
        <v>12000</v>
      </c>
      <c r="G107" s="10" t="n">
        <v>0.3</v>
      </c>
      <c r="H107" s="7" t="inlineStr"/>
    </row>
    <row r="108" ht="20" customHeight="1">
      <c r="A108" s="6" t="n">
        <v>75</v>
      </c>
      <c r="B108" s="7" t="inlineStr">
        <is>
          <t>Холодильник двухкамерный</t>
        </is>
      </c>
      <c r="C108" s="8" t="n">
        <v>1</v>
      </c>
      <c r="D108" s="6" t="inlineStr">
        <is>
          <t>шт.</t>
        </is>
      </c>
      <c r="E108" s="9" t="n">
        <v>45000</v>
      </c>
      <c r="F108" s="9" t="n">
        <v>45000</v>
      </c>
      <c r="G108" s="10" t="n">
        <v>0.2</v>
      </c>
      <c r="H108" s="7" t="inlineStr"/>
    </row>
    <row r="109" ht="20" customHeight="1">
      <c r="A109" s="6" t="n">
        <v>76</v>
      </c>
      <c r="B109" s="7" t="inlineStr">
        <is>
          <t>СВЧ</t>
        </is>
      </c>
      <c r="C109" s="8" t="n">
        <v>1</v>
      </c>
      <c r="D109" s="6" t="inlineStr">
        <is>
          <t>шт.</t>
        </is>
      </c>
      <c r="E109" s="9" t="n">
        <v>9000</v>
      </c>
      <c r="F109" s="9" t="n">
        <v>9000</v>
      </c>
      <c r="G109" s="10" t="n">
        <v>0.1</v>
      </c>
      <c r="H109" s="7" t="inlineStr"/>
    </row>
    <row r="110" ht="20" customHeight="1">
      <c r="A110" s="6" t="n">
        <v>77</v>
      </c>
      <c r="B110" s="7" t="inlineStr">
        <is>
          <t>Посудомоечная машина 45 см</t>
        </is>
      </c>
      <c r="C110" s="8" t="n">
        <v>1</v>
      </c>
      <c r="D110" s="6" t="inlineStr">
        <is>
          <t>шт.</t>
        </is>
      </c>
      <c r="E110" s="9" t="n">
        <v>35000</v>
      </c>
      <c r="F110" s="9" t="n">
        <v>35000</v>
      </c>
      <c r="G110" s="10" t="n">
        <v>0.4</v>
      </c>
      <c r="H110" s="7" t="inlineStr">
        <is>
          <t>для посуточной очень желательно</t>
        </is>
      </c>
    </row>
    <row r="111" ht="20" customHeight="1">
      <c r="A111" s="6" t="n">
        <v>78</v>
      </c>
      <c r="B111" s="7" t="inlineStr">
        <is>
          <t>Стиральная машина 6–7 кг</t>
        </is>
      </c>
      <c r="C111" s="8" t="n">
        <v>1</v>
      </c>
      <c r="D111" s="6" t="inlineStr">
        <is>
          <t>шт.</t>
        </is>
      </c>
      <c r="E111" s="9" t="n">
        <v>32000</v>
      </c>
      <c r="F111" s="9" t="n">
        <v>32000</v>
      </c>
      <c r="G111" s="10" t="n">
        <v>0.4</v>
      </c>
      <c r="H111" s="7" t="inlineStr"/>
    </row>
    <row r="112">
      <c r="A112" s="11" t="inlineStr">
        <is>
          <t>Итого: КУХНЯ (мебель + техника)</t>
        </is>
      </c>
      <c r="B112" s="12" t="n"/>
      <c r="C112" s="12" t="n"/>
      <c r="D112" s="12" t="n"/>
      <c r="E112" s="12" t="n"/>
      <c r="F112" s="13" t="n">
        <v>295500</v>
      </c>
      <c r="G112" s="14" t="n">
        <v>4</v>
      </c>
      <c r="H112" s="15" t="inlineStr"/>
    </row>
    <row r="114" ht="22" customHeight="1">
      <c r="A114" s="4" t="inlineStr">
        <is>
          <t>11. МЕБЕЛЬ — КУХНЯ-ГОСТИНАЯ + ПРИХОЖАЯ</t>
        </is>
      </c>
      <c r="B114" s="5" t="n"/>
      <c r="C114" s="5" t="n"/>
      <c r="D114" s="5" t="n"/>
      <c r="E114" s="5" t="n"/>
      <c r="F114" s="5" t="n"/>
      <c r="G114" s="5" t="n"/>
      <c r="H114" s="5" t="n"/>
    </row>
    <row r="115" ht="20" customHeight="1">
      <c r="A115" s="6" t="n">
        <v>79</v>
      </c>
      <c r="B115" s="7" t="inlineStr">
        <is>
          <t>Диван-кровать раскладной 140–160</t>
        </is>
      </c>
      <c r="C115" s="8" t="n">
        <v>1</v>
      </c>
      <c r="D115" s="6" t="inlineStr">
        <is>
          <t>шт.</t>
        </is>
      </c>
      <c r="E115" s="9" t="n">
        <v>45000</v>
      </c>
      <c r="F115" s="9" t="n">
        <v>45000</v>
      </c>
      <c r="G115" s="10" t="n">
        <v>0.3</v>
      </c>
      <c r="H115" s="7" t="inlineStr">
        <is>
          <t>доп. спальное место</t>
        </is>
      </c>
    </row>
    <row r="116" ht="20" customHeight="1">
      <c r="A116" s="6" t="n">
        <v>80</v>
      </c>
      <c r="B116" s="7" t="inlineStr">
        <is>
          <t>Кресло / пуф</t>
        </is>
      </c>
      <c r="C116" s="8" t="n">
        <v>1</v>
      </c>
      <c r="D116" s="6" t="inlineStr">
        <is>
          <t>шт.</t>
        </is>
      </c>
      <c r="E116" s="9" t="n">
        <v>8000</v>
      </c>
      <c r="F116" s="9" t="n">
        <v>8000</v>
      </c>
      <c r="G116" s="10" t="n">
        <v>0.1</v>
      </c>
      <c r="H116" s="7" t="inlineStr"/>
    </row>
    <row r="117" ht="20" customHeight="1">
      <c r="A117" s="6" t="n">
        <v>81</v>
      </c>
      <c r="B117" s="7" t="inlineStr">
        <is>
          <t>Журнальный столик</t>
        </is>
      </c>
      <c r="C117" s="8" t="n">
        <v>1</v>
      </c>
      <c r="D117" s="6" t="inlineStr">
        <is>
          <t>шт.</t>
        </is>
      </c>
      <c r="E117" s="9" t="n">
        <v>6000</v>
      </c>
      <c r="F117" s="9" t="n">
        <v>6000</v>
      </c>
      <c r="G117" s="10" t="n">
        <v>0.1</v>
      </c>
      <c r="H117" s="7" t="inlineStr"/>
    </row>
    <row r="118" ht="20" customHeight="1">
      <c r="A118" s="6" t="n">
        <v>82</v>
      </c>
      <c r="B118" s="7" t="inlineStr">
        <is>
          <t>Тумба ТВ</t>
        </is>
      </c>
      <c r="C118" s="8" t="n">
        <v>1</v>
      </c>
      <c r="D118" s="6" t="inlineStr">
        <is>
          <t>шт.</t>
        </is>
      </c>
      <c r="E118" s="9" t="n">
        <v>7000</v>
      </c>
      <c r="F118" s="9" t="n">
        <v>7000</v>
      </c>
      <c r="G118" s="10" t="n">
        <v>0.1</v>
      </c>
      <c r="H118" s="7" t="inlineStr"/>
    </row>
    <row r="119" ht="20" customHeight="1">
      <c r="A119" s="6" t="n">
        <v>83</v>
      </c>
      <c r="B119" s="7" t="inlineStr">
        <is>
          <t>Обеденный стол на 4–6 чел.</t>
        </is>
      </c>
      <c r="C119" s="8" t="n">
        <v>1</v>
      </c>
      <c r="D119" s="6" t="inlineStr">
        <is>
          <t>шт.</t>
        </is>
      </c>
      <c r="E119" s="9" t="n">
        <v>12000</v>
      </c>
      <c r="F119" s="9" t="n">
        <v>12000</v>
      </c>
      <c r="G119" s="10" t="n">
        <v>0.2</v>
      </c>
      <c r="H119" s="7" t="inlineStr"/>
    </row>
    <row r="120" ht="20" customHeight="1">
      <c r="A120" s="6" t="n">
        <v>84</v>
      </c>
      <c r="B120" s="7" t="inlineStr">
        <is>
          <t>Стул обеденный</t>
        </is>
      </c>
      <c r="C120" s="8" t="n">
        <v>4</v>
      </c>
      <c r="D120" s="6" t="inlineStr">
        <is>
          <t>шт.</t>
        </is>
      </c>
      <c r="E120" s="9" t="n">
        <v>3500</v>
      </c>
      <c r="F120" s="9" t="n">
        <v>14000</v>
      </c>
      <c r="G120" s="10" t="n">
        <v>0.2</v>
      </c>
      <c r="H120" s="7" t="inlineStr"/>
    </row>
    <row r="121" ht="20" customHeight="1">
      <c r="A121" s="6" t="n">
        <v>85</v>
      </c>
      <c r="B121" s="7" t="inlineStr">
        <is>
          <t>Стеллаж / шкаф открытый</t>
        </is>
      </c>
      <c r="C121" s="8" t="n">
        <v>1</v>
      </c>
      <c r="D121" s="6" t="inlineStr">
        <is>
          <t>шт.</t>
        </is>
      </c>
      <c r="E121" s="9" t="n">
        <v>10000</v>
      </c>
      <c r="F121" s="9" t="n">
        <v>10000</v>
      </c>
      <c r="G121" s="10" t="n">
        <v>0.2</v>
      </c>
      <c r="H121" s="7" t="inlineStr"/>
    </row>
    <row r="122" ht="20" customHeight="1">
      <c r="A122" s="6" t="n">
        <v>86</v>
      </c>
      <c r="B122" s="7" t="inlineStr">
        <is>
          <t>Зеркало + вешалка + обувница (прихожая)</t>
        </is>
      </c>
      <c r="C122" s="8" t="n">
        <v>1</v>
      </c>
      <c r="D122" s="6" t="inlineStr">
        <is>
          <t>компл.</t>
        </is>
      </c>
      <c r="E122" s="9" t="n">
        <v>9000</v>
      </c>
      <c r="F122" s="9" t="n">
        <v>9000</v>
      </c>
      <c r="G122" s="10" t="n">
        <v>0.3</v>
      </c>
      <c r="H122" s="7" t="inlineStr"/>
    </row>
    <row r="123">
      <c r="A123" s="11" t="inlineStr">
        <is>
          <t>Итого: МЕБЕЛЬ — КУХНЯ-ГОСТИНАЯ + ПРИХОЖАЯ</t>
        </is>
      </c>
      <c r="B123" s="12" t="n"/>
      <c r="C123" s="12" t="n"/>
      <c r="D123" s="12" t="n"/>
      <c r="E123" s="12" t="n"/>
      <c r="F123" s="13" t="n">
        <v>111000</v>
      </c>
      <c r="G123" s="14" t="n">
        <v>1.5</v>
      </c>
      <c r="H123" s="15" t="inlineStr"/>
    </row>
    <row r="125" ht="22" customHeight="1">
      <c r="A125" s="4" t="inlineStr">
        <is>
          <t>12. МЕБЕЛЬ — СПАЛЬНИ (2 × 9,21 м²)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0" customHeight="1">
      <c r="A126" s="6" t="n">
        <v>87</v>
      </c>
      <c r="B126" s="7" t="inlineStr">
        <is>
          <t>Кровать 160×200 с основанием (спальня 1)</t>
        </is>
      </c>
      <c r="C126" s="8" t="n">
        <v>1</v>
      </c>
      <c r="D126" s="6" t="inlineStr">
        <is>
          <t>шт.</t>
        </is>
      </c>
      <c r="E126" s="9" t="n">
        <v>22000</v>
      </c>
      <c r="F126" s="9" t="n">
        <v>22000</v>
      </c>
      <c r="G126" s="10" t="n">
        <v>0.3</v>
      </c>
      <c r="H126" s="7" t="inlineStr"/>
    </row>
    <row r="127" ht="20" customHeight="1">
      <c r="A127" s="6" t="n">
        <v>88</v>
      </c>
      <c r="B127" s="7" t="inlineStr">
        <is>
          <t>Матрас ортопедический 160×200</t>
        </is>
      </c>
      <c r="C127" s="8" t="n">
        <v>1</v>
      </c>
      <c r="D127" s="6" t="inlineStr">
        <is>
          <t>шт.</t>
        </is>
      </c>
      <c r="E127" s="9" t="n">
        <v>18000</v>
      </c>
      <c r="F127" s="9" t="n">
        <v>18000</v>
      </c>
      <c r="G127" s="10" t="n">
        <v>0.1</v>
      </c>
      <c r="H127" s="7" t="inlineStr"/>
    </row>
    <row r="128" ht="20" customHeight="1">
      <c r="A128" s="6" t="n">
        <v>89</v>
      </c>
      <c r="B128" s="7" t="inlineStr">
        <is>
          <t>Кровать 140×200 с основанием (спальня 2)</t>
        </is>
      </c>
      <c r="C128" s="8" t="n">
        <v>1</v>
      </c>
      <c r="D128" s="6" t="inlineStr">
        <is>
          <t>шт.</t>
        </is>
      </c>
      <c r="E128" s="9" t="n">
        <v>18000</v>
      </c>
      <c r="F128" s="9" t="n">
        <v>18000</v>
      </c>
      <c r="G128" s="10" t="n">
        <v>0.3</v>
      </c>
      <c r="H128" s="7" t="inlineStr"/>
    </row>
    <row r="129" ht="20" customHeight="1">
      <c r="A129" s="6" t="n">
        <v>90</v>
      </c>
      <c r="B129" s="7" t="inlineStr">
        <is>
          <t>Матрас 140×200</t>
        </is>
      </c>
      <c r="C129" s="8" t="n">
        <v>1</v>
      </c>
      <c r="D129" s="6" t="inlineStr">
        <is>
          <t>шт.</t>
        </is>
      </c>
      <c r="E129" s="9" t="n">
        <v>14000</v>
      </c>
      <c r="F129" s="9" t="n">
        <v>14000</v>
      </c>
      <c r="G129" s="10" t="n">
        <v>0.1</v>
      </c>
      <c r="H129" s="7" t="inlineStr"/>
    </row>
    <row r="130" ht="20" customHeight="1">
      <c r="A130" s="6" t="n">
        <v>91</v>
      </c>
      <c r="B130" s="7" t="inlineStr">
        <is>
          <t>Тумба прикроватная</t>
        </is>
      </c>
      <c r="C130" s="8" t="n">
        <v>4</v>
      </c>
      <c r="D130" s="6" t="inlineStr">
        <is>
          <t>шт.</t>
        </is>
      </c>
      <c r="E130" s="9" t="n">
        <v>3500</v>
      </c>
      <c r="F130" s="9" t="n">
        <v>14000</v>
      </c>
      <c r="G130" s="10" t="n">
        <v>0.3</v>
      </c>
      <c r="H130" s="7" t="inlineStr"/>
    </row>
    <row r="131" ht="20" customHeight="1">
      <c r="A131" s="6" t="n">
        <v>92</v>
      </c>
      <c r="B131" s="7" t="inlineStr">
        <is>
          <t>Шкаф 2-дверный</t>
        </is>
      </c>
      <c r="C131" s="8" t="n">
        <v>2</v>
      </c>
      <c r="D131" s="6" t="inlineStr">
        <is>
          <t>шт.</t>
        </is>
      </c>
      <c r="E131" s="9" t="n">
        <v>22000</v>
      </c>
      <c r="F131" s="9" t="n">
        <v>44000</v>
      </c>
      <c r="G131" s="10" t="n">
        <v>0.8</v>
      </c>
      <c r="H131" s="7" t="inlineStr"/>
    </row>
    <row r="132" ht="20" customHeight="1">
      <c r="A132" s="6" t="n">
        <v>93</v>
      </c>
      <c r="B132" s="7" t="inlineStr">
        <is>
          <t>Комод</t>
        </is>
      </c>
      <c r="C132" s="8" t="n">
        <v>1</v>
      </c>
      <c r="D132" s="6" t="inlineStr">
        <is>
          <t>шт.</t>
        </is>
      </c>
      <c r="E132" s="9" t="n">
        <v>10000</v>
      </c>
      <c r="F132" s="9" t="n">
        <v>10000</v>
      </c>
      <c r="G132" s="10" t="n">
        <v>0.2</v>
      </c>
      <c r="H132" s="7" t="inlineStr"/>
    </row>
    <row r="133" ht="20" customHeight="1">
      <c r="A133" s="6" t="n">
        <v>94</v>
      </c>
      <c r="B133" s="7" t="inlineStr">
        <is>
          <t>Зеркало настенное</t>
        </is>
      </c>
      <c r="C133" s="8" t="n">
        <v>2</v>
      </c>
      <c r="D133" s="6" t="inlineStr">
        <is>
          <t>шт.</t>
        </is>
      </c>
      <c r="E133" s="9" t="n">
        <v>2500</v>
      </c>
      <c r="F133" s="9" t="n">
        <v>5000</v>
      </c>
      <c r="G133" s="10" t="n">
        <v>0.2</v>
      </c>
      <c r="H133" s="7" t="inlineStr"/>
    </row>
    <row r="134">
      <c r="A134" s="11" t="inlineStr">
        <is>
          <t>Итого: МЕБЕЛЬ — СПАЛЬНИ (2 × 9,21 м²)</t>
        </is>
      </c>
      <c r="B134" s="12" t="n"/>
      <c r="C134" s="12" t="n"/>
      <c r="D134" s="12" t="n"/>
      <c r="E134" s="12" t="n"/>
      <c r="F134" s="13" t="n">
        <v>145000</v>
      </c>
      <c r="G134" s="14" t="n">
        <v>2.3</v>
      </c>
      <c r="H134" s="15" t="inlineStr"/>
    </row>
    <row r="136" ht="22" customHeight="1">
      <c r="A136" s="4" t="inlineStr">
        <is>
          <t>13. ТЕХНИКА И ЭЛЕКТРОНИКА ДЛЯ ГОСТЕЙ</t>
        </is>
      </c>
      <c r="B136" s="5" t="n"/>
      <c r="C136" s="5" t="n"/>
      <c r="D136" s="5" t="n"/>
      <c r="E136" s="5" t="n"/>
      <c r="F136" s="5" t="n"/>
      <c r="G136" s="5" t="n"/>
      <c r="H136" s="5" t="n"/>
    </row>
    <row r="137" ht="20" customHeight="1">
      <c r="A137" s="6" t="n">
        <v>95</v>
      </c>
      <c r="B137" s="7" t="inlineStr">
        <is>
          <t>Телевизор Smart TV 43–50"</t>
        </is>
      </c>
      <c r="C137" s="8" t="n">
        <v>1</v>
      </c>
      <c r="D137" s="6" t="inlineStr">
        <is>
          <t>шт.</t>
        </is>
      </c>
      <c r="E137" s="9" t="n">
        <v>32000</v>
      </c>
      <c r="F137" s="9" t="n">
        <v>32000</v>
      </c>
      <c r="G137" s="10" t="n">
        <v>0.2</v>
      </c>
      <c r="H137" s="7" t="inlineStr">
        <is>
          <t>гостиная</t>
        </is>
      </c>
    </row>
    <row r="138" ht="20" customHeight="1">
      <c r="A138" s="6" t="n">
        <v>96</v>
      </c>
      <c r="B138" s="7" t="inlineStr">
        <is>
          <t>Роутер Wi-Fi</t>
        </is>
      </c>
      <c r="C138" s="8" t="n">
        <v>1</v>
      </c>
      <c r="D138" s="6" t="inlineStr">
        <is>
          <t>компл.</t>
        </is>
      </c>
      <c r="E138" s="9" t="n">
        <v>5500</v>
      </c>
      <c r="F138" s="9" t="n">
        <v>5500</v>
      </c>
      <c r="G138" s="10" t="n">
        <v>0.2</v>
      </c>
      <c r="H138" s="7" t="inlineStr">
        <is>
          <t>обязательно</t>
        </is>
      </c>
    </row>
    <row r="139" ht="20" customHeight="1">
      <c r="A139" s="6" t="n">
        <v>97</v>
      </c>
      <c r="B139" s="7" t="inlineStr">
        <is>
          <t>Кондиционер сплит 9–12k BTU (гостиная)</t>
        </is>
      </c>
      <c r="C139" s="8" t="n">
        <v>1</v>
      </c>
      <c r="D139" s="6" t="inlineStr">
        <is>
          <t>компл.</t>
        </is>
      </c>
      <c r="E139" s="9" t="n">
        <v>45000</v>
      </c>
      <c r="F139" s="9" t="n">
        <v>45000</v>
      </c>
      <c r="G139" s="10" t="n">
        <v>1</v>
      </c>
      <c r="H139" s="7" t="inlineStr">
        <is>
          <t>лето — критично для сдачи</t>
        </is>
      </c>
    </row>
    <row r="140" ht="20" customHeight="1">
      <c r="A140" s="6" t="n">
        <v>98</v>
      </c>
      <c r="B140" s="7" t="inlineStr">
        <is>
          <t>Фен</t>
        </is>
      </c>
      <c r="C140" s="8" t="n">
        <v>1</v>
      </c>
      <c r="D140" s="6" t="inlineStr">
        <is>
          <t>шт.</t>
        </is>
      </c>
      <c r="E140" s="9" t="n">
        <v>2500</v>
      </c>
      <c r="F140" s="9" t="n">
        <v>2500</v>
      </c>
      <c r="G140" s="10" t="n">
        <v>0</v>
      </c>
      <c r="H140" s="7" t="inlineStr"/>
    </row>
    <row r="141" ht="20" customHeight="1">
      <c r="A141" s="6" t="n">
        <v>99</v>
      </c>
      <c r="B141" s="7" t="inlineStr">
        <is>
          <t>Утюг + гладильная доска</t>
        </is>
      </c>
      <c r="C141" s="8" t="n">
        <v>1</v>
      </c>
      <c r="D141" s="6" t="inlineStr">
        <is>
          <t>компл.</t>
        </is>
      </c>
      <c r="E141" s="9" t="n">
        <v>4500</v>
      </c>
      <c r="F141" s="9" t="n">
        <v>4500</v>
      </c>
      <c r="G141" s="10" t="n">
        <v>0.1</v>
      </c>
      <c r="H141" s="7" t="inlineStr"/>
    </row>
    <row r="142" ht="20" customHeight="1">
      <c r="A142" s="6" t="n">
        <v>100</v>
      </c>
      <c r="B142" s="7" t="inlineStr">
        <is>
          <t>Чайник электрический</t>
        </is>
      </c>
      <c r="C142" s="8" t="n">
        <v>1</v>
      </c>
      <c r="D142" s="6" t="inlineStr">
        <is>
          <t>шт.</t>
        </is>
      </c>
      <c r="E142" s="9" t="n">
        <v>2500</v>
      </c>
      <c r="F142" s="9" t="n">
        <v>2500</v>
      </c>
      <c r="G142" s="10" t="n">
        <v>0</v>
      </c>
      <c r="H142" s="7" t="inlineStr"/>
    </row>
    <row r="143" ht="20" customHeight="1">
      <c r="A143" s="6" t="n">
        <v>101</v>
      </c>
      <c r="B143" s="7" t="inlineStr">
        <is>
          <t>Кофемашина капсульная / тостер</t>
        </is>
      </c>
      <c r="C143" s="8" t="n">
        <v>1</v>
      </c>
      <c r="D143" s="6" t="inlineStr">
        <is>
          <t>шт.</t>
        </is>
      </c>
      <c r="E143" s="9" t="n">
        <v>8000</v>
      </c>
      <c r="F143" s="9" t="n">
        <v>8000</v>
      </c>
      <c r="G143" s="10" t="n">
        <v>0</v>
      </c>
      <c r="H143" s="7" t="inlineStr"/>
    </row>
    <row r="144" ht="20" customHeight="1">
      <c r="A144" s="6" t="n">
        <v>102</v>
      </c>
      <c r="B144" s="7" t="inlineStr">
        <is>
          <t>Пылесос</t>
        </is>
      </c>
      <c r="C144" s="8" t="n">
        <v>1</v>
      </c>
      <c r="D144" s="6" t="inlineStr">
        <is>
          <t>шт.</t>
        </is>
      </c>
      <c r="E144" s="9" t="n">
        <v>7000</v>
      </c>
      <c r="F144" s="9" t="n">
        <v>7000</v>
      </c>
      <c r="G144" s="10" t="n">
        <v>0</v>
      </c>
      <c r="H144" s="7" t="inlineStr"/>
    </row>
    <row r="145">
      <c r="A145" s="11" t="inlineStr">
        <is>
          <t>Итого: ТЕХНИКА И ЭЛЕКТРОНИКА ДЛЯ ГОСТЕЙ</t>
        </is>
      </c>
      <c r="B145" s="12" t="n"/>
      <c r="C145" s="12" t="n"/>
      <c r="D145" s="12" t="n"/>
      <c r="E145" s="12" t="n"/>
      <c r="F145" s="13" t="n">
        <v>107000</v>
      </c>
      <c r="G145" s="14" t="n">
        <v>1.5</v>
      </c>
      <c r="H145" s="15" t="inlineStr"/>
    </row>
    <row r="147" ht="22" customHeight="1">
      <c r="A147" s="4" t="inlineStr">
        <is>
          <t>14. ТЕКСТИЛЬ, ПОСТЕЛЬ, ШТОРЫ</t>
        </is>
      </c>
      <c r="B147" s="5" t="n"/>
      <c r="C147" s="5" t="n"/>
      <c r="D147" s="5" t="n"/>
      <c r="E147" s="5" t="n"/>
      <c r="F147" s="5" t="n"/>
      <c r="G147" s="5" t="n"/>
      <c r="H147" s="5" t="n"/>
    </row>
    <row r="148" ht="32" customHeight="1">
      <c r="A148" s="6" t="n">
        <v>103</v>
      </c>
      <c r="B148" s="7" t="inlineStr">
        <is>
          <t>Комплект постельного белья (основной + сменный)</t>
        </is>
      </c>
      <c r="C148" s="8" t="n">
        <v>6</v>
      </c>
      <c r="D148" s="6" t="inlineStr">
        <is>
          <t>компл.</t>
        </is>
      </c>
      <c r="E148" s="9" t="n">
        <v>3500</v>
      </c>
      <c r="F148" s="9" t="n">
        <v>21000</v>
      </c>
      <c r="G148" s="10" t="n">
        <v>0</v>
      </c>
      <c r="H148" s="7" t="inlineStr">
        <is>
          <t>3 спальных места × 2</t>
        </is>
      </c>
    </row>
    <row r="149" ht="20" customHeight="1">
      <c r="A149" s="6" t="n">
        <v>104</v>
      </c>
      <c r="B149" s="7" t="inlineStr">
        <is>
          <t>Одеяло всесезонное</t>
        </is>
      </c>
      <c r="C149" s="8" t="n">
        <v>3</v>
      </c>
      <c r="D149" s="6" t="inlineStr">
        <is>
          <t>шт.</t>
        </is>
      </c>
      <c r="E149" s="9" t="n">
        <v>4000</v>
      </c>
      <c r="F149" s="9" t="n">
        <v>12000</v>
      </c>
      <c r="G149" s="10" t="n">
        <v>0</v>
      </c>
      <c r="H149" s="7" t="inlineStr"/>
    </row>
    <row r="150" ht="20" customHeight="1">
      <c r="A150" s="6" t="n">
        <v>105</v>
      </c>
      <c r="B150" s="7" t="inlineStr">
        <is>
          <t>Подушка</t>
        </is>
      </c>
      <c r="C150" s="8" t="n">
        <v>6</v>
      </c>
      <c r="D150" s="6" t="inlineStr">
        <is>
          <t>шт.</t>
        </is>
      </c>
      <c r="E150" s="9" t="n">
        <v>1500</v>
      </c>
      <c r="F150" s="9" t="n">
        <v>9000</v>
      </c>
      <c r="G150" s="10" t="n">
        <v>0</v>
      </c>
      <c r="H150" s="7" t="inlineStr"/>
    </row>
    <row r="151" ht="20" customHeight="1">
      <c r="A151" s="6" t="n">
        <v>106</v>
      </c>
      <c r="B151" s="7" t="inlineStr">
        <is>
          <t>Наматрасник непромокаемый</t>
        </is>
      </c>
      <c r="C151" s="8" t="n">
        <v>3</v>
      </c>
      <c r="D151" s="6" t="inlineStr">
        <is>
          <t>шт.</t>
        </is>
      </c>
      <c r="E151" s="9" t="n">
        <v>2500</v>
      </c>
      <c r="F151" s="9" t="n">
        <v>7500</v>
      </c>
      <c r="G151" s="10" t="n">
        <v>0</v>
      </c>
      <c r="H151" s="7" t="inlineStr">
        <is>
          <t>для аренды обязательно</t>
        </is>
      </c>
    </row>
    <row r="152" ht="20" customHeight="1">
      <c r="A152" s="6" t="n">
        <v>107</v>
      </c>
      <c r="B152" s="7" t="inlineStr">
        <is>
          <t>Покрывало / плед</t>
        </is>
      </c>
      <c r="C152" s="8" t="n">
        <v>3</v>
      </c>
      <c r="D152" s="6" t="inlineStr">
        <is>
          <t>шт.</t>
        </is>
      </c>
      <c r="E152" s="9" t="n">
        <v>3000</v>
      </c>
      <c r="F152" s="9" t="n">
        <v>9000</v>
      </c>
      <c r="G152" s="10" t="n">
        <v>0</v>
      </c>
      <c r="H152" s="7" t="inlineStr"/>
    </row>
    <row r="153" ht="20" customHeight="1">
      <c r="A153" s="6" t="n">
        <v>108</v>
      </c>
      <c r="B153" s="7" t="inlineStr">
        <is>
          <t>Шторы блэкаут + тюль (спальни)</t>
        </is>
      </c>
      <c r="C153" s="8" t="n">
        <v>2</v>
      </c>
      <c r="D153" s="6" t="inlineStr">
        <is>
          <t>компл.</t>
        </is>
      </c>
      <c r="E153" s="9" t="n">
        <v>8000</v>
      </c>
      <c r="F153" s="9" t="n">
        <v>16000</v>
      </c>
      <c r="G153" s="10" t="n">
        <v>0.5</v>
      </c>
      <c r="H153" s="7" t="inlineStr"/>
    </row>
    <row r="154" ht="32" customHeight="1">
      <c r="A154" s="6" t="n">
        <v>109</v>
      </c>
      <c r="B154" s="7" t="inlineStr">
        <is>
          <t>Шторы / римская (гостиная, на существующие окна)</t>
        </is>
      </c>
      <c r="C154" s="8" t="n">
        <v>1</v>
      </c>
      <c r="D154" s="6" t="inlineStr">
        <is>
          <t>компл.</t>
        </is>
      </c>
      <c r="E154" s="9" t="n">
        <v>9000</v>
      </c>
      <c r="F154" s="9" t="n">
        <v>9000</v>
      </c>
      <c r="G154" s="10" t="n">
        <v>0.3</v>
      </c>
      <c r="H154" s="7" t="inlineStr"/>
    </row>
    <row r="155" ht="20" customHeight="1">
      <c r="A155" s="6" t="n">
        <v>110</v>
      </c>
      <c r="B155" s="7" t="inlineStr">
        <is>
          <t>Карнизы</t>
        </is>
      </c>
      <c r="C155" s="8" t="n">
        <v>4</v>
      </c>
      <c r="D155" s="6" t="inlineStr">
        <is>
          <t>шт.</t>
        </is>
      </c>
      <c r="E155" s="9" t="n">
        <v>2000</v>
      </c>
      <c r="F155" s="9" t="n">
        <v>8000</v>
      </c>
      <c r="G155" s="10" t="n">
        <v>0.3</v>
      </c>
      <c r="H155" s="7" t="inlineStr"/>
    </row>
    <row r="156" ht="20" customHeight="1">
      <c r="A156" s="6" t="n">
        <v>111</v>
      </c>
      <c r="B156" s="7" t="inlineStr">
        <is>
          <t>Полотенца банные</t>
        </is>
      </c>
      <c r="C156" s="8" t="n">
        <v>6</v>
      </c>
      <c r="D156" s="6" t="inlineStr">
        <is>
          <t>шт.</t>
        </is>
      </c>
      <c r="E156" s="9" t="n">
        <v>800</v>
      </c>
      <c r="F156" s="9" t="n">
        <v>4800</v>
      </c>
      <c r="G156" s="10" t="n">
        <v>0</v>
      </c>
      <c r="H156" s="7" t="inlineStr"/>
    </row>
    <row r="157" ht="20" customHeight="1">
      <c r="A157" s="6" t="n">
        <v>112</v>
      </c>
      <c r="B157" s="7" t="inlineStr">
        <is>
          <t>Полотенца лицевые</t>
        </is>
      </c>
      <c r="C157" s="8" t="n">
        <v>6</v>
      </c>
      <c r="D157" s="6" t="inlineStr">
        <is>
          <t>шт.</t>
        </is>
      </c>
      <c r="E157" s="9" t="n">
        <v>400</v>
      </c>
      <c r="F157" s="9" t="n">
        <v>2400</v>
      </c>
      <c r="G157" s="10" t="n">
        <v>0</v>
      </c>
      <c r="H157" s="7" t="inlineStr"/>
    </row>
    <row r="158" ht="20" customHeight="1">
      <c r="A158" s="6" t="n">
        <v>113</v>
      </c>
      <c r="B158" s="7" t="inlineStr">
        <is>
          <t>Коврик с/у + прикроватные</t>
        </is>
      </c>
      <c r="C158" s="8" t="n">
        <v>4</v>
      </c>
      <c r="D158" s="6" t="inlineStr">
        <is>
          <t>шт.</t>
        </is>
      </c>
      <c r="E158" s="9" t="n">
        <v>1200</v>
      </c>
      <c r="F158" s="9" t="n">
        <v>4800</v>
      </c>
      <c r="G158" s="10" t="n">
        <v>0</v>
      </c>
      <c r="H158" s="7" t="inlineStr"/>
    </row>
    <row r="159" ht="20" customHeight="1">
      <c r="A159" s="6" t="n">
        <v>114</v>
      </c>
      <c r="B159" s="7" t="inlineStr">
        <is>
          <t>Скатерть / дорожка</t>
        </is>
      </c>
      <c r="C159" s="8" t="n">
        <v>1</v>
      </c>
      <c r="D159" s="6" t="inlineStr">
        <is>
          <t>шт.</t>
        </is>
      </c>
      <c r="E159" s="9" t="n">
        <v>1500</v>
      </c>
      <c r="F159" s="9" t="n">
        <v>1500</v>
      </c>
      <c r="G159" s="10" t="n">
        <v>0</v>
      </c>
      <c r="H159" s="7" t="inlineStr"/>
    </row>
    <row r="160">
      <c r="A160" s="11" t="inlineStr">
        <is>
          <t>Итого: ТЕКСТИЛЬ, ПОСТЕЛЬ, ШТОРЫ</t>
        </is>
      </c>
      <c r="B160" s="12" t="n"/>
      <c r="C160" s="12" t="n"/>
      <c r="D160" s="12" t="n"/>
      <c r="E160" s="12" t="n"/>
      <c r="F160" s="13" t="n">
        <v>105000</v>
      </c>
      <c r="G160" s="14" t="n">
        <v>1.1</v>
      </c>
      <c r="H160" s="15" t="inlineStr"/>
    </row>
    <row r="162" ht="22" customHeight="1">
      <c r="A162" s="4" t="inlineStr">
        <is>
          <t>15. ПОСУДА, БЫТ, СТАРТ ДЛЯ ПОСУТОЧНОЙ</t>
        </is>
      </c>
      <c r="B162" s="5" t="n"/>
      <c r="C162" s="5" t="n"/>
      <c r="D162" s="5" t="n"/>
      <c r="E162" s="5" t="n"/>
      <c r="F162" s="5" t="n"/>
      <c r="G162" s="5" t="n"/>
      <c r="H162" s="5" t="n"/>
    </row>
    <row r="163" ht="20" customHeight="1">
      <c r="A163" s="6" t="n">
        <v>115</v>
      </c>
      <c r="B163" s="7" t="inlineStr">
        <is>
          <t>Сервиз тарелок/мисок на 6 персон</t>
        </is>
      </c>
      <c r="C163" s="8" t="n">
        <v>1</v>
      </c>
      <c r="D163" s="6" t="inlineStr">
        <is>
          <t>компл.</t>
        </is>
      </c>
      <c r="E163" s="9" t="n">
        <v>5000</v>
      </c>
      <c r="F163" s="9" t="n">
        <v>5000</v>
      </c>
      <c r="G163" s="10" t="n">
        <v>0</v>
      </c>
      <c r="H163" s="7" t="inlineStr"/>
    </row>
    <row r="164" ht="20" customHeight="1">
      <c r="A164" s="6" t="n">
        <v>116</v>
      </c>
      <c r="B164" s="7" t="inlineStr">
        <is>
          <t>Кружки, бокалы, стаканы</t>
        </is>
      </c>
      <c r="C164" s="8" t="n">
        <v>1</v>
      </c>
      <c r="D164" s="6" t="inlineStr">
        <is>
          <t>компл.</t>
        </is>
      </c>
      <c r="E164" s="9" t="n">
        <v>3500</v>
      </c>
      <c r="F164" s="9" t="n">
        <v>3500</v>
      </c>
      <c r="G164" s="10" t="n">
        <v>0</v>
      </c>
      <c r="H164" s="7" t="inlineStr"/>
    </row>
    <row r="165" ht="20" customHeight="1">
      <c r="A165" s="6" t="n">
        <v>117</v>
      </c>
      <c r="B165" s="7" t="inlineStr">
        <is>
          <t>Столовые приборы на 6 + запас</t>
        </is>
      </c>
      <c r="C165" s="8" t="n">
        <v>1</v>
      </c>
      <c r="D165" s="6" t="inlineStr">
        <is>
          <t>компл.</t>
        </is>
      </c>
      <c r="E165" s="9" t="n">
        <v>3000</v>
      </c>
      <c r="F165" s="9" t="n">
        <v>3000</v>
      </c>
      <c r="G165" s="10" t="n">
        <v>0</v>
      </c>
      <c r="H165" s="7" t="inlineStr"/>
    </row>
    <row r="166" ht="20" customHeight="1">
      <c r="A166" s="6" t="n">
        <v>118</v>
      </c>
      <c r="B166" s="7" t="inlineStr">
        <is>
          <t>Кастрюли, сковороды, ножи, доски, лопатки</t>
        </is>
      </c>
      <c r="C166" s="8" t="n">
        <v>1</v>
      </c>
      <c r="D166" s="6" t="inlineStr">
        <is>
          <t>компл.</t>
        </is>
      </c>
      <c r="E166" s="9" t="n">
        <v>8000</v>
      </c>
      <c r="F166" s="9" t="n">
        <v>8000</v>
      </c>
      <c r="G166" s="10" t="n">
        <v>0</v>
      </c>
      <c r="H166" s="7" t="inlineStr"/>
    </row>
    <row r="167" ht="20" customHeight="1">
      <c r="A167" s="6" t="n">
        <v>119</v>
      </c>
      <c r="B167" s="7" t="inlineStr">
        <is>
          <t>Контейнеры, открывалки и пр.</t>
        </is>
      </c>
      <c r="C167" s="8" t="n">
        <v>1</v>
      </c>
      <c r="D167" s="6" t="inlineStr">
        <is>
          <t>компл.</t>
        </is>
      </c>
      <c r="E167" s="9" t="n">
        <v>2500</v>
      </c>
      <c r="F167" s="9" t="n">
        <v>2500</v>
      </c>
      <c r="G167" s="10" t="n">
        <v>0</v>
      </c>
      <c r="H167" s="7" t="inlineStr"/>
    </row>
    <row r="168" ht="20" customHeight="1">
      <c r="A168" s="6" t="n">
        <v>120</v>
      </c>
      <c r="B168" s="7" t="inlineStr">
        <is>
          <t>Сушилка для посуды, ведро для мусора</t>
        </is>
      </c>
      <c r="C168" s="8" t="n">
        <v>1</v>
      </c>
      <c r="D168" s="6" t="inlineStr">
        <is>
          <t>компл.</t>
        </is>
      </c>
      <c r="E168" s="9" t="n">
        <v>2500</v>
      </c>
      <c r="F168" s="9" t="n">
        <v>2500</v>
      </c>
      <c r="G168" s="10" t="n">
        <v>0</v>
      </c>
      <c r="H168" s="7" t="inlineStr"/>
    </row>
    <row r="169" ht="20" customHeight="1">
      <c r="A169" s="6" t="n">
        <v>121</v>
      </c>
      <c r="B169" s="7" t="inlineStr">
        <is>
          <t>Вешалки плечики</t>
        </is>
      </c>
      <c r="C169" s="8" t="n">
        <v>30</v>
      </c>
      <c r="D169" s="6" t="inlineStr">
        <is>
          <t>шт.</t>
        </is>
      </c>
      <c r="E169" s="9" t="n">
        <v>50</v>
      </c>
      <c r="F169" s="9" t="n">
        <v>1500</v>
      </c>
      <c r="G169" s="10" t="n">
        <v>0</v>
      </c>
      <c r="H169" s="7" t="inlineStr"/>
    </row>
    <row r="170" ht="20" customHeight="1">
      <c r="A170" s="6" t="n">
        <v>122</v>
      </c>
      <c r="B170" s="7" t="inlineStr">
        <is>
          <t>Расходники старт (пакеты, губки, мешки)</t>
        </is>
      </c>
      <c r="C170" s="8" t="n">
        <v>1</v>
      </c>
      <c r="D170" s="6" t="inlineStr">
        <is>
          <t>компл.</t>
        </is>
      </c>
      <c r="E170" s="9" t="n">
        <v>3000</v>
      </c>
      <c r="F170" s="9" t="n">
        <v>3000</v>
      </c>
      <c r="G170" s="10" t="n">
        <v>0</v>
      </c>
      <c r="H170" s="7" t="inlineStr"/>
    </row>
    <row r="171" ht="20" customHeight="1">
      <c r="A171" s="6" t="n">
        <v>123</v>
      </c>
      <c r="B171" s="7" t="inlineStr">
        <is>
          <t>Старт гигиена: бумага, мыло, шампунь, гель</t>
        </is>
      </c>
      <c r="C171" s="8" t="n">
        <v>1</v>
      </c>
      <c r="D171" s="6" t="inlineStr">
        <is>
          <t>компл.</t>
        </is>
      </c>
      <c r="E171" s="9" t="n">
        <v>2500</v>
      </c>
      <c r="F171" s="9" t="n">
        <v>2500</v>
      </c>
      <c r="G171" s="10" t="n">
        <v>0</v>
      </c>
      <c r="H171" s="7" t="inlineStr"/>
    </row>
    <row r="172" ht="20" customHeight="1">
      <c r="A172" s="6" t="n">
        <v>124</v>
      </c>
      <c r="B172" s="7" t="inlineStr">
        <is>
          <t>Аптечка + огнетушитель + датчик дыма</t>
        </is>
      </c>
      <c r="C172" s="8" t="n">
        <v>1</v>
      </c>
      <c r="D172" s="6" t="inlineStr">
        <is>
          <t>компл.</t>
        </is>
      </c>
      <c r="E172" s="9" t="n">
        <v>4500</v>
      </c>
      <c r="F172" s="9" t="n">
        <v>4500</v>
      </c>
      <c r="G172" s="10" t="n">
        <v>0.2</v>
      </c>
      <c r="H172" s="7" t="inlineStr"/>
    </row>
    <row r="173" ht="20" customHeight="1">
      <c r="A173" s="6" t="n">
        <v>125</v>
      </c>
      <c r="B173" s="7" t="inlineStr">
        <is>
          <t>Сушилка для белья</t>
        </is>
      </c>
      <c r="C173" s="8" t="n">
        <v>1</v>
      </c>
      <c r="D173" s="6" t="inlineStr">
        <is>
          <t>шт.</t>
        </is>
      </c>
      <c r="E173" s="9" t="n">
        <v>2000</v>
      </c>
      <c r="F173" s="9" t="n">
        <v>2000</v>
      </c>
      <c r="G173" s="10" t="n">
        <v>0</v>
      </c>
      <c r="H173" s="7" t="inlineStr"/>
    </row>
    <row r="174" ht="20" customHeight="1">
      <c r="A174" s="6" t="n">
        <v>126</v>
      </c>
      <c r="B174" s="7" t="inlineStr">
        <is>
          <t>Коврик грязезащитный у входа (внутри)</t>
        </is>
      </c>
      <c r="C174" s="8" t="n">
        <v>1</v>
      </c>
      <c r="D174" s="6" t="inlineStr">
        <is>
          <t>шт.</t>
        </is>
      </c>
      <c r="E174" s="9" t="n">
        <v>2500</v>
      </c>
      <c r="F174" s="9" t="n">
        <v>2500</v>
      </c>
      <c r="G174" s="10" t="n">
        <v>0</v>
      </c>
      <c r="H174" s="7" t="inlineStr"/>
    </row>
    <row r="175">
      <c r="A175" s="11" t="inlineStr">
        <is>
          <t>Итого: ПОСУДА, БЫТ, СТАРТ ДЛЯ ПОСУТОЧНОЙ</t>
        </is>
      </c>
      <c r="B175" s="12" t="n"/>
      <c r="C175" s="12" t="n"/>
      <c r="D175" s="12" t="n"/>
      <c r="E175" s="12" t="n"/>
      <c r="F175" s="13" t="n">
        <v>40500</v>
      </c>
      <c r="G175" s="14" t="n">
        <v>0.2</v>
      </c>
      <c r="H175" s="15" t="inlineStr"/>
    </row>
    <row r="177" ht="22" customHeight="1">
      <c r="A177" s="4" t="inlineStr">
        <is>
          <t>16. ДЕКОР И ПРОЧЕЕ ДЛЯ СДАЧИ</t>
        </is>
      </c>
      <c r="B177" s="5" t="n"/>
      <c r="C177" s="5" t="n"/>
      <c r="D177" s="5" t="n"/>
      <c r="E177" s="5" t="n"/>
      <c r="F177" s="5" t="n"/>
      <c r="G177" s="5" t="n"/>
      <c r="H177" s="5" t="n"/>
    </row>
    <row r="178" ht="20" customHeight="1">
      <c r="A178" s="6" t="n">
        <v>127</v>
      </c>
      <c r="B178" s="7" t="inlineStr">
        <is>
          <t>Картины / постеры</t>
        </is>
      </c>
      <c r="C178" s="8" t="n">
        <v>1</v>
      </c>
      <c r="D178" s="6" t="inlineStr">
        <is>
          <t>компл.</t>
        </is>
      </c>
      <c r="E178" s="9" t="n">
        <v>5000</v>
      </c>
      <c r="F178" s="9" t="n">
        <v>5000</v>
      </c>
      <c r="G178" s="10" t="n">
        <v>0.2</v>
      </c>
      <c r="H178" s="7" t="inlineStr"/>
    </row>
    <row r="179" ht="20" customHeight="1">
      <c r="A179" s="6" t="n">
        <v>128</v>
      </c>
      <c r="B179" s="7" t="inlineStr">
        <is>
          <t>Декор / растения искусственные</t>
        </is>
      </c>
      <c r="C179" s="8" t="n">
        <v>1</v>
      </c>
      <c r="D179" s="6" t="inlineStr">
        <is>
          <t>компл.</t>
        </is>
      </c>
      <c r="E179" s="9" t="n">
        <v>3000</v>
      </c>
      <c r="F179" s="9" t="n">
        <v>3000</v>
      </c>
      <c r="G179" s="10" t="n">
        <v>0.1</v>
      </c>
      <c r="H179" s="7" t="inlineStr"/>
    </row>
    <row r="180" ht="20" customHeight="1">
      <c r="A180" s="6" t="n">
        <v>129</v>
      </c>
      <c r="B180" s="7" t="inlineStr">
        <is>
          <t>Лампа прикроватная / торшер</t>
        </is>
      </c>
      <c r="C180" s="8" t="n">
        <v>3</v>
      </c>
      <c r="D180" s="6" t="inlineStr">
        <is>
          <t>шт.</t>
        </is>
      </c>
      <c r="E180" s="9" t="n">
        <v>2500</v>
      </c>
      <c r="F180" s="9" t="n">
        <v>7500</v>
      </c>
      <c r="G180" s="10" t="n">
        <v>0.2</v>
      </c>
      <c r="H180" s="7" t="inlineStr"/>
    </row>
    <row r="181" ht="20" customHeight="1">
      <c r="A181" s="6" t="n">
        <v>130</v>
      </c>
      <c r="B181" s="7" t="inlineStr">
        <is>
          <t>Органайзеры для белья</t>
        </is>
      </c>
      <c r="C181" s="8" t="n">
        <v>1</v>
      </c>
      <c r="D181" s="6" t="inlineStr">
        <is>
          <t>компл.</t>
        </is>
      </c>
      <c r="E181" s="9" t="n">
        <v>3000</v>
      </c>
      <c r="F181" s="9" t="n">
        <v>3000</v>
      </c>
      <c r="G181" s="10" t="n">
        <v>0</v>
      </c>
      <c r="H181" s="7" t="inlineStr"/>
    </row>
    <row r="182" ht="20" customHeight="1">
      <c r="A182" s="6" t="n">
        <v>131</v>
      </c>
      <c r="B182" s="7" t="inlineStr">
        <is>
          <t>Сейф небольшой (для хозяина)</t>
        </is>
      </c>
      <c r="C182" s="8" t="n">
        <v>1</v>
      </c>
      <c r="D182" s="6" t="inlineStr">
        <is>
          <t>шт.</t>
        </is>
      </c>
      <c r="E182" s="9" t="n">
        <v>5000</v>
      </c>
      <c r="F182" s="9" t="n">
        <v>5000</v>
      </c>
      <c r="G182" s="10" t="n">
        <v>0.1</v>
      </c>
      <c r="H182" s="7" t="inlineStr"/>
    </row>
    <row r="183" ht="20" customHeight="1">
      <c r="A183" s="6" t="n">
        <v>132</v>
      </c>
      <c r="B183" s="7" t="inlineStr">
        <is>
          <t>Ключница + кейбокс / запасные ключи</t>
        </is>
      </c>
      <c r="C183" s="8" t="n">
        <v>1</v>
      </c>
      <c r="D183" s="6" t="inlineStr">
        <is>
          <t>компл.</t>
        </is>
      </c>
      <c r="E183" s="9" t="n">
        <v>3500</v>
      </c>
      <c r="F183" s="9" t="n">
        <v>3500</v>
      </c>
      <c r="G183" s="10" t="n">
        <v>0.1</v>
      </c>
      <c r="H183" s="7" t="inlineStr"/>
    </row>
    <row r="184" ht="20" customHeight="1">
      <c r="A184" s="6" t="n">
        <v>133</v>
      </c>
      <c r="B184" s="7" t="inlineStr">
        <is>
          <t>Табличка Wi-Fi / правила дома</t>
        </is>
      </c>
      <c r="C184" s="8" t="n">
        <v>1</v>
      </c>
      <c r="D184" s="6" t="inlineStr">
        <is>
          <t>компл.</t>
        </is>
      </c>
      <c r="E184" s="9" t="n">
        <v>1500</v>
      </c>
      <c r="F184" s="9" t="n">
        <v>1500</v>
      </c>
      <c r="G184" s="10" t="n">
        <v>0</v>
      </c>
      <c r="H184" s="7" t="inlineStr"/>
    </row>
    <row r="185" ht="20" customHeight="1">
      <c r="A185" s="6" t="n">
        <v>134</v>
      </c>
      <c r="B185" s="7" t="inlineStr">
        <is>
          <t>Запас: лампочки, батарейки, фильтры</t>
        </is>
      </c>
      <c r="C185" s="8" t="n">
        <v>1</v>
      </c>
      <c r="D185" s="6" t="inlineStr">
        <is>
          <t>компл.</t>
        </is>
      </c>
      <c r="E185" s="9" t="n">
        <v>2000</v>
      </c>
      <c r="F185" s="9" t="n">
        <v>2000</v>
      </c>
      <c r="G185" s="10" t="n">
        <v>0</v>
      </c>
      <c r="H185" s="7" t="inlineStr"/>
    </row>
    <row r="186" ht="20" customHeight="1">
      <c r="A186" s="6" t="n">
        <v>135</v>
      </c>
      <c r="B186" s="7" t="inlineStr">
        <is>
          <t>Клининг-набор старт (химия, швабра, тряпки)</t>
        </is>
      </c>
      <c r="C186" s="8" t="n">
        <v>1</v>
      </c>
      <c r="D186" s="6" t="inlineStr">
        <is>
          <t>компл.</t>
        </is>
      </c>
      <c r="E186" s="9" t="n">
        <v>6000</v>
      </c>
      <c r="F186" s="9" t="n">
        <v>6000</v>
      </c>
      <c r="G186" s="10" t="n">
        <v>0</v>
      </c>
      <c r="H186" s="7" t="inlineStr"/>
    </row>
    <row r="187">
      <c r="A187" s="11" t="inlineStr">
        <is>
          <t>Итого: ДЕКОР И ПРОЧЕЕ ДЛЯ СДАЧИ</t>
        </is>
      </c>
      <c r="B187" s="12" t="n"/>
      <c r="C187" s="12" t="n"/>
      <c r="D187" s="12" t="n"/>
      <c r="E187" s="12" t="n"/>
      <c r="F187" s="13" t="n">
        <v>36500</v>
      </c>
      <c r="G187" s="14" t="n">
        <v>0.7</v>
      </c>
      <c r="H187" s="15" t="inlineStr"/>
    </row>
    <row r="189" ht="22" customHeight="1">
      <c r="A189" s="4" t="inlineStr">
        <is>
          <t>17. РЕЗЕРВ (доставка и неучтённое)</t>
        </is>
      </c>
      <c r="B189" s="5" t="n"/>
      <c r="C189" s="5" t="n"/>
      <c r="D189" s="5" t="n"/>
      <c r="E189" s="5" t="n"/>
      <c r="F189" s="5" t="n"/>
      <c r="G189" s="5" t="n"/>
      <c r="H189" s="5" t="n"/>
    </row>
    <row r="190" ht="20" customHeight="1">
      <c r="A190" s="6" t="n">
        <v>136</v>
      </c>
      <c r="B190" s="7" t="inlineStr">
        <is>
          <t>Доставка материалов</t>
        </is>
      </c>
      <c r="C190" s="8" t="n">
        <v>1</v>
      </c>
      <c r="D190" s="6" t="inlineStr">
        <is>
          <t>усл.</t>
        </is>
      </c>
      <c r="E190" s="9" t="n">
        <v>20000</v>
      </c>
      <c r="F190" s="9" t="n">
        <v>20000</v>
      </c>
      <c r="G190" s="10" t="n">
        <v>0</v>
      </c>
      <c r="H190" s="7" t="inlineStr"/>
    </row>
    <row r="191" ht="20" customHeight="1">
      <c r="A191" s="6" t="n">
        <v>137</v>
      </c>
      <c r="B191" s="7" t="inlineStr">
        <is>
          <t>Резерв на крепёж / доборы / отходы 5%</t>
        </is>
      </c>
      <c r="C191" s="8" t="n">
        <v>1</v>
      </c>
      <c r="D191" s="6" t="inlineStr">
        <is>
          <t>усл.</t>
        </is>
      </c>
      <c r="E191" s="9" t="n">
        <v>35000</v>
      </c>
      <c r="F191" s="9" t="n">
        <v>35000</v>
      </c>
      <c r="G191" s="10" t="n">
        <v>0</v>
      </c>
      <c r="H191" s="7" t="inlineStr"/>
    </row>
    <row r="192">
      <c r="A192" s="11" t="inlineStr">
        <is>
          <t>Итого: РЕЗЕРВ (доставка и неучтённое)</t>
        </is>
      </c>
      <c r="B192" s="12" t="n"/>
      <c r="C192" s="12" t="n"/>
      <c r="D192" s="12" t="n"/>
      <c r="E192" s="12" t="n"/>
      <c r="F192" s="13" t="n">
        <v>55000</v>
      </c>
      <c r="G192" s="14" t="n">
        <v>0</v>
      </c>
      <c r="H192" s="15" t="inlineStr"/>
    </row>
    <row r="194">
      <c r="A194" s="17" t="inlineStr">
        <is>
          <t>ИТОГО МАТЕРИАЛЫ И КОМПЛЕКТАЦИЯ (только внутрянка)</t>
        </is>
      </c>
      <c r="B194" s="17" t="n"/>
      <c r="C194" s="17" t="n"/>
      <c r="D194" s="17" t="n"/>
      <c r="E194" s="17" t="n"/>
      <c r="F194" s="18" t="n">
        <v>1587550</v>
      </c>
      <c r="G194" s="19" t="n">
        <v>47.9</v>
      </c>
      <c r="H194" s="20" t="inlineStr">
        <is>
          <t>сумма дней по позициям (часть работ параллельно)</t>
        </is>
      </c>
    </row>
    <row r="195" ht="40" customHeight="1">
      <c r="A195" s="2" t="inlineStr">
        <is>
          <t>Ориентир календаря внутрянки бригадой 2 чел.: ≈ 32 раб. дней. Работы в смету НЕ входят. Итого материалы+обстановка: ≈ 1 587 550 ₽. С запасом 10%: ≈ 1 746 305 ₽. Не включено: окна  терраса  фасад  кровля  наружные работы.</t>
        </is>
      </c>
    </row>
  </sheetData>
  <mergeCells count="39">
    <mergeCell ref="A114:H114"/>
    <mergeCell ref="A51:E51"/>
    <mergeCell ref="A36:E36"/>
    <mergeCell ref="A1:H1"/>
    <mergeCell ref="A123:E123"/>
    <mergeCell ref="A88:E88"/>
    <mergeCell ref="A6:H6"/>
    <mergeCell ref="A70:H70"/>
    <mergeCell ref="A162:H162"/>
    <mergeCell ref="A78:E78"/>
    <mergeCell ref="A187:E187"/>
    <mergeCell ref="A177:H177"/>
    <mergeCell ref="A90:H90"/>
    <mergeCell ref="A99:E99"/>
    <mergeCell ref="A80:H80"/>
    <mergeCell ref="A46:H46"/>
    <mergeCell ref="A189:H189"/>
    <mergeCell ref="A18:E18"/>
    <mergeCell ref="A145:E145"/>
    <mergeCell ref="A192:E192"/>
    <mergeCell ref="A3:H3"/>
    <mergeCell ref="A101:H101"/>
    <mergeCell ref="A136:H136"/>
    <mergeCell ref="A26:E26"/>
    <mergeCell ref="A2:H2"/>
    <mergeCell ref="A175:E175"/>
    <mergeCell ref="A195:H195"/>
    <mergeCell ref="A160:E160"/>
    <mergeCell ref="A194:E194"/>
    <mergeCell ref="A53:H53"/>
    <mergeCell ref="A147:H147"/>
    <mergeCell ref="A20:H20"/>
    <mergeCell ref="A38:H38"/>
    <mergeCell ref="A125:H125"/>
    <mergeCell ref="A112:E112"/>
    <mergeCell ref="A134:E134"/>
    <mergeCell ref="A68:E68"/>
    <mergeCell ref="A28:H28"/>
    <mergeCell ref="A44:E4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18" customWidth="1" min="4" max="4"/>
  </cols>
  <sheetData>
    <row r="1">
      <c r="A1" s="21" t="inlineStr">
        <is>
          <t>Сводка затрат по разделам (только внутрянка)</t>
        </is>
      </c>
    </row>
    <row r="3">
      <c r="A3" s="3" t="inlineStr">
        <is>
          <t>Раздел</t>
        </is>
      </c>
      <c r="B3" s="3" t="inlineStr">
        <is>
          <t>Сумма, ₽</t>
        </is>
      </c>
      <c r="C3" s="3" t="inlineStr">
        <is>
          <t>Доля, %</t>
        </is>
      </c>
      <c r="D3" s="3" t="inlineStr">
        <is>
          <t>Время монтажа, дн</t>
        </is>
      </c>
    </row>
    <row r="4">
      <c r="A4" s="22" t="inlineStr">
        <is>
          <t>ОТДЕЛКА ПЕРЕГОРОДОК И СТЕН ИЗНУТРИ (каркас уже есть)</t>
        </is>
      </c>
      <c r="B4" s="23" t="n">
        <v>134920</v>
      </c>
      <c r="C4" s="24" t="n">
        <v>8.5</v>
      </c>
      <c r="D4" s="24" t="n">
        <v>9.300000000000001</v>
      </c>
    </row>
    <row r="5">
      <c r="A5" s="22" t="inlineStr">
        <is>
          <t>ПОТОЛКИ</t>
        </is>
      </c>
      <c r="B5" s="23" t="n">
        <v>48480</v>
      </c>
      <c r="C5" s="24" t="n">
        <v>3.1</v>
      </c>
      <c r="D5" s="24" t="n">
        <v>4.8</v>
      </c>
    </row>
    <row r="6">
      <c r="A6" s="22" t="inlineStr">
        <is>
          <t>ПОЛЫ</t>
        </is>
      </c>
      <c r="B6" s="23" t="n">
        <v>103500</v>
      </c>
      <c r="C6" s="24" t="n">
        <v>6.5</v>
      </c>
      <c r="D6" s="24" t="n">
        <v>4.4</v>
      </c>
    </row>
    <row r="7">
      <c r="A7" s="22" t="inlineStr">
        <is>
          <t>САНУЗЕЛ — плитка и гидроизоляция стен</t>
        </is>
      </c>
      <c r="B7" s="23" t="n">
        <v>42360</v>
      </c>
      <c r="C7" s="24" t="n">
        <v>2.7</v>
      </c>
      <c r="D7" s="24" t="n">
        <v>2.7</v>
      </c>
    </row>
    <row r="8">
      <c r="A8" s="22" t="inlineStr">
        <is>
          <t>ДВЕРИ МЕЖКОМНАТНЫЕ</t>
        </is>
      </c>
      <c r="B8" s="23" t="n">
        <v>39400</v>
      </c>
      <c r="C8" s="24" t="n">
        <v>2.5</v>
      </c>
      <c r="D8" s="24" t="n">
        <v>1.1</v>
      </c>
    </row>
    <row r="9">
      <c r="A9" s="22" t="inlineStr">
        <is>
          <t>ЭЛЕКТРИКА ВНУТРЕННЯЯ (материалы)</t>
        </is>
      </c>
      <c r="B9" s="23" t="n">
        <v>122590</v>
      </c>
      <c r="C9" s="24" t="n">
        <v>7.7</v>
      </c>
      <c r="D9" s="24" t="n">
        <v>6.4</v>
      </c>
    </row>
    <row r="10">
      <c r="A10" s="22" t="inlineStr">
        <is>
          <t>ОТОПЛЕНИЕ — ЭЛЕКТРИЧЕСКИЕ КОНВЕКТОРЫ</t>
        </is>
      </c>
      <c r="B10" s="23" t="n">
        <v>61000</v>
      </c>
      <c r="C10" s="24" t="n">
        <v>3.8</v>
      </c>
      <c r="D10" s="24" t="n">
        <v>1.7</v>
      </c>
    </row>
    <row r="11">
      <c r="A11" s="22" t="inlineStr">
        <is>
          <t>ВЕНТИЛЯЦИЯ И ВОДОСНАБЖЕНИЕ (внутренняя разводка)</t>
        </is>
      </c>
      <c r="B11" s="23" t="n">
        <v>59300</v>
      </c>
      <c r="C11" s="24" t="n">
        <v>3.7</v>
      </c>
      <c r="D11" s="24" t="n">
        <v>3.9</v>
      </c>
    </row>
    <row r="12">
      <c r="A12" s="22" t="inlineStr">
        <is>
          <t>САНТЕХНИКА С/У</t>
        </is>
      </c>
      <c r="B12" s="23" t="n">
        <v>80500</v>
      </c>
      <c r="C12" s="24" t="n">
        <v>5.1</v>
      </c>
      <c r="D12" s="24" t="n">
        <v>2.3</v>
      </c>
    </row>
    <row r="13">
      <c r="A13" s="22" t="inlineStr">
        <is>
          <t>КУХНЯ (мебель + техника)</t>
        </is>
      </c>
      <c r="B13" s="23" t="n">
        <v>295500</v>
      </c>
      <c r="C13" s="24" t="n">
        <v>18.6</v>
      </c>
      <c r="D13" s="24" t="n">
        <v>4</v>
      </c>
    </row>
    <row r="14">
      <c r="A14" s="22" t="inlineStr">
        <is>
          <t>МЕБЕЛЬ — КУХНЯ-ГОСТИНАЯ + ПРИХОЖАЯ</t>
        </is>
      </c>
      <c r="B14" s="23" t="n">
        <v>111000</v>
      </c>
      <c r="C14" s="24" t="n">
        <v>7</v>
      </c>
      <c r="D14" s="24" t="n">
        <v>1.5</v>
      </c>
    </row>
    <row r="15">
      <c r="A15" s="22" t="inlineStr">
        <is>
          <t>МЕБЕЛЬ — СПАЛЬНИ (2 × 9,21 м²)</t>
        </is>
      </c>
      <c r="B15" s="23" t="n">
        <v>145000</v>
      </c>
      <c r="C15" s="24" t="n">
        <v>9.1</v>
      </c>
      <c r="D15" s="24" t="n">
        <v>2.3</v>
      </c>
    </row>
    <row r="16">
      <c r="A16" s="22" t="inlineStr">
        <is>
          <t>ТЕХНИКА И ЭЛЕКТРОНИКА ДЛЯ ГОСТЕЙ</t>
        </is>
      </c>
      <c r="B16" s="23" t="n">
        <v>107000</v>
      </c>
      <c r="C16" s="24" t="n">
        <v>6.7</v>
      </c>
      <c r="D16" s="24" t="n">
        <v>1.5</v>
      </c>
    </row>
    <row r="17">
      <c r="A17" s="22" t="inlineStr">
        <is>
          <t>ТЕКСТИЛЬ, ПОСТЕЛЬ, ШТОРЫ</t>
        </is>
      </c>
      <c r="B17" s="23" t="n">
        <v>105000</v>
      </c>
      <c r="C17" s="24" t="n">
        <v>6.6</v>
      </c>
      <c r="D17" s="24" t="n">
        <v>1.1</v>
      </c>
    </row>
    <row r="18">
      <c r="A18" s="22" t="inlineStr">
        <is>
          <t>ПОСУДА, БЫТ, СТАРТ ДЛЯ ПОСУТОЧНОЙ</t>
        </is>
      </c>
      <c r="B18" s="23" t="n">
        <v>40500</v>
      </c>
      <c r="C18" s="24" t="n">
        <v>2.6</v>
      </c>
      <c r="D18" s="24" t="n">
        <v>0.2</v>
      </c>
    </row>
    <row r="19">
      <c r="A19" s="22" t="inlineStr">
        <is>
          <t>ДЕКОР И ПРОЧЕЕ ДЛЯ СДАЧИ</t>
        </is>
      </c>
      <c r="B19" s="23" t="n">
        <v>36500</v>
      </c>
      <c r="C19" s="24" t="n">
        <v>2.3</v>
      </c>
      <c r="D19" s="24" t="n">
        <v>0.7</v>
      </c>
    </row>
    <row r="20">
      <c r="A20" s="22" t="inlineStr">
        <is>
          <t>РЕЗЕРВ (доставка и неучтённое)</t>
        </is>
      </c>
      <c r="B20" s="23" t="n">
        <v>55000</v>
      </c>
      <c r="C20" s="24" t="n">
        <v>3.5</v>
      </c>
      <c r="D20" s="24" t="n">
        <v>0</v>
      </c>
    </row>
    <row r="21">
      <c r="A21" s="17" t="inlineStr">
        <is>
          <t>ИТОГО</t>
        </is>
      </c>
      <c r="B21" s="18" t="n">
        <v>1587550</v>
      </c>
      <c r="C21" s="17" t="n">
        <v>100</v>
      </c>
      <c r="D21" s="17" t="n">
        <v>47.9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16" customWidth="1" min="3" max="3"/>
  </cols>
  <sheetData>
    <row r="1">
      <c r="A1" s="21" t="inlineStr">
        <is>
          <t>Чек-лист внутрянки и обстановки по комнатам (посуточная)</t>
        </is>
      </c>
    </row>
    <row r="3">
      <c r="A3" s="25" t="inlineStr">
        <is>
          <t>Прихожая 2,80 м²</t>
        </is>
      </c>
      <c r="B3" s="5" t="n"/>
      <c r="C3" s="5" t="n"/>
    </row>
    <row r="4">
      <c r="A4" s="22" t="inlineStr">
        <is>
          <t>•</t>
        </is>
      </c>
      <c r="B4" s="22" t="inlineStr">
        <is>
          <t>Вешалка / обувница / зеркало, коврик</t>
        </is>
      </c>
      <c r="C4" s="22" t="n"/>
    </row>
    <row r="5">
      <c r="A5" s="22" t="inlineStr">
        <is>
          <t>•</t>
        </is>
      </c>
      <c r="B5" s="22" t="inlineStr">
        <is>
          <t>Конвектор 1 кВт</t>
        </is>
      </c>
      <c r="C5" s="22" t="n"/>
    </row>
    <row r="6">
      <c r="A6" s="22" t="inlineStr">
        <is>
          <t>•</t>
        </is>
      </c>
      <c r="B6" s="22" t="inlineStr">
        <is>
          <t>Свет + розетки</t>
        </is>
      </c>
      <c r="C6" s="22" t="n"/>
    </row>
    <row r="8">
      <c r="A8" s="25" t="inlineStr">
        <is>
          <t>Кухня-гостиная 18,82 м²</t>
        </is>
      </c>
      <c r="B8" s="5" t="n"/>
      <c r="C8" s="5" t="n"/>
    </row>
    <row r="9">
      <c r="A9" s="22" t="inlineStr">
        <is>
          <t>•</t>
        </is>
      </c>
      <c r="B9" s="22" t="inlineStr">
        <is>
          <t>Кухня + техника (холод, плита, духовка, вытяжка, СВЧ, ПММ)</t>
        </is>
      </c>
      <c r="C9" s="22" t="n"/>
    </row>
    <row r="10">
      <c r="A10" s="22" t="inlineStr">
        <is>
          <t>•</t>
        </is>
      </c>
      <c r="B10" s="22" t="inlineStr">
        <is>
          <t>Обеденная зона 4–6 чел., диван-кровать, ТВ</t>
        </is>
      </c>
      <c r="C10" s="22" t="n"/>
    </row>
    <row r="11">
      <c r="A11" s="22" t="inlineStr">
        <is>
          <t>•</t>
        </is>
      </c>
      <c r="B11" s="22" t="inlineStr">
        <is>
          <t>2 конвектора по 2 кВт + кондиционер</t>
        </is>
      </c>
      <c r="C11" s="22" t="n"/>
    </row>
    <row r="12">
      <c r="A12" s="22" t="inlineStr">
        <is>
          <t>•</t>
        </is>
      </c>
      <c r="B12" s="22" t="inlineStr">
        <is>
          <t>Шторы на существующие окна/витражи, Wi-Fi</t>
        </is>
      </c>
      <c r="C12" s="22" t="n"/>
    </row>
    <row r="14">
      <c r="A14" s="25" t="inlineStr">
        <is>
          <t>Спальня 1 — 9,21 м²</t>
        </is>
      </c>
      <c r="B14" s="5" t="n"/>
      <c r="C14" s="5" t="n"/>
    </row>
    <row r="15">
      <c r="A15" s="22" t="inlineStr">
        <is>
          <t>•</t>
        </is>
      </c>
      <c r="B15" s="22" t="inlineStr">
        <is>
          <t>Кровать 160×200 + матрас + наматрасник</t>
        </is>
      </c>
      <c r="C15" s="22" t="n"/>
    </row>
    <row r="16">
      <c r="A16" s="22" t="inlineStr">
        <is>
          <t>•</t>
        </is>
      </c>
      <c r="B16" s="22" t="inlineStr">
        <is>
          <t>Шкаф, 2 тумбы, свет, шторы блэкаут</t>
        </is>
      </c>
      <c r="C16" s="22" t="n"/>
    </row>
    <row r="17">
      <c r="A17" s="22" t="inlineStr">
        <is>
          <t>•</t>
        </is>
      </c>
      <c r="B17" s="22" t="inlineStr">
        <is>
          <t>Конвектор 1,5 кВт</t>
        </is>
      </c>
      <c r="C17" s="22" t="n"/>
    </row>
    <row r="19">
      <c r="A19" s="25" t="inlineStr">
        <is>
          <t>Спальня 2 — 9,21 м²</t>
        </is>
      </c>
      <c r="B19" s="5" t="n"/>
      <c r="C19" s="5" t="n"/>
    </row>
    <row r="20">
      <c r="A20" s="22" t="inlineStr">
        <is>
          <t>•</t>
        </is>
      </c>
      <c r="B20" s="22" t="inlineStr">
        <is>
          <t>Кровать 140×200 + матрас + наматрасник</t>
        </is>
      </c>
      <c r="C20" s="22" t="n"/>
    </row>
    <row r="21">
      <c r="A21" s="22" t="inlineStr">
        <is>
          <t>•</t>
        </is>
      </c>
      <c r="B21" s="22" t="inlineStr">
        <is>
          <t>Шкаф, 2 тумбы, свет, шторы блэкаут</t>
        </is>
      </c>
      <c r="C21" s="22" t="n"/>
    </row>
    <row r="22">
      <c r="A22" s="22" t="inlineStr">
        <is>
          <t>•</t>
        </is>
      </c>
      <c r="B22" s="22" t="inlineStr">
        <is>
          <t>Конвектор 1,5 кВт</t>
        </is>
      </c>
      <c r="C22" s="22" t="n"/>
    </row>
    <row r="24">
      <c r="A24" s="25" t="inlineStr">
        <is>
          <t>Санузел 3,32 м²</t>
        </is>
      </c>
      <c r="B24" s="5" t="n"/>
      <c r="C24" s="5" t="n"/>
    </row>
    <row r="25">
      <c r="A25" s="22" t="inlineStr">
        <is>
          <t>•</t>
        </is>
      </c>
      <c r="B25" s="22" t="inlineStr">
        <is>
          <t>Унитаз, раковина, душевая, стиралка</t>
        </is>
      </c>
      <c r="C25" s="22" t="n"/>
    </row>
    <row r="26">
      <c r="A26" s="22" t="inlineStr">
        <is>
          <t>•</t>
        </is>
      </c>
      <c r="B26" s="22" t="inlineStr">
        <is>
          <t>Плитка, тёплый пол, полотенцесушитель эл., вентилятор</t>
        </is>
      </c>
      <c r="C26" s="22" t="n"/>
    </row>
    <row r="27">
      <c r="A27" s="22" t="inlineStr">
        <is>
          <t>•</t>
        </is>
      </c>
      <c r="B27" s="22" t="inlineStr">
        <is>
          <t>Полотенца и расходники</t>
        </is>
      </c>
      <c r="C27" s="22" t="n"/>
    </row>
  </sheetData>
  <mergeCells count="22">
    <mergeCell ref="B16:C16"/>
    <mergeCell ref="B25:C25"/>
    <mergeCell ref="B22:C22"/>
    <mergeCell ref="A3:C3"/>
    <mergeCell ref="B27:C27"/>
    <mergeCell ref="B12:C12"/>
    <mergeCell ref="B21:C21"/>
    <mergeCell ref="B11:C11"/>
    <mergeCell ref="A8:C8"/>
    <mergeCell ref="A14:C14"/>
    <mergeCell ref="B17:C17"/>
    <mergeCell ref="A19:C19"/>
    <mergeCell ref="B10:C10"/>
    <mergeCell ref="B9:C9"/>
    <mergeCell ref="A24:C24"/>
    <mergeCell ref="B6:C6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21" t="inlineStr">
        <is>
          <t>Параметры объекта</t>
        </is>
      </c>
    </row>
    <row r="3">
      <c r="A3" s="3" t="inlineStr">
        <is>
          <t>Параметр</t>
        </is>
      </c>
      <c r="B3" s="3" t="inlineStr">
        <is>
          <t>Значение</t>
        </is>
      </c>
    </row>
    <row r="4">
      <c r="A4" s="22" t="inlineStr">
        <is>
          <t>Габарит</t>
        </is>
      </c>
      <c r="B4" s="26" t="inlineStr">
        <is>
          <t>6 120 × 10 000 мм</t>
        </is>
      </c>
    </row>
    <row r="5">
      <c r="A5" s="22" t="inlineStr">
        <is>
          <t>Жилая площадь</t>
        </is>
      </c>
      <c r="B5" s="26" t="inlineStr">
        <is>
          <t>43.36 м²</t>
        </is>
      </c>
    </row>
    <row r="6">
      <c r="A6" s="22" t="inlineStr">
        <is>
          <t>Прихожая / с/у / кухня-гостиная</t>
        </is>
      </c>
      <c r="B6" s="26" t="inlineStr">
        <is>
          <t>2.8 / 3.32 / 18.82 м²</t>
        </is>
      </c>
    </row>
    <row r="7">
      <c r="A7" s="22" t="inlineStr">
        <is>
          <t>Спальни</t>
        </is>
      </c>
      <c r="B7" s="26" t="inlineStr">
        <is>
          <t>9.21 + 9.21 м²</t>
        </is>
      </c>
    </row>
    <row r="8">
      <c r="A8" s="22" t="inlineStr">
        <is>
          <t>Высота потолка (принято)</t>
        </is>
      </c>
      <c r="B8" s="26" t="inlineStr">
        <is>
          <t>2.5 м</t>
        </is>
      </c>
    </row>
    <row r="9">
      <c r="A9" s="22" t="inlineStr">
        <is>
          <t>Состояние</t>
        </is>
      </c>
      <c r="B9" s="26" t="inlineStr">
        <is>
          <t>Каркас перегородок; окна и терраса УЖЕ ЕСТЬ</t>
        </is>
      </c>
    </row>
    <row r="10">
      <c r="A10" s="22" t="inlineStr">
        <is>
          <t>Отопление</t>
        </is>
      </c>
      <c r="B10" s="26" t="inlineStr">
        <is>
          <t>Электрические конвекторы (5 шт. + полотенцесушитель)</t>
        </is>
      </c>
    </row>
    <row r="11">
      <c r="A11" s="22" t="inlineStr">
        <is>
          <t>Смета включает</t>
        </is>
      </c>
      <c r="B11" s="26" t="inlineStr">
        <is>
          <t>Только внутренняя отделка + инженерия внутри + обстановка под посуточную</t>
        </is>
      </c>
    </row>
    <row r="12">
      <c r="A12" s="22" t="inlineStr">
        <is>
          <t>Смета НЕ включает</t>
        </is>
      </c>
      <c r="B12" s="26" t="inlineStr">
        <is>
          <t>Окна, терраса, фасад, кровля, фундамент, наружные работы, стоимость монтажа</t>
        </is>
      </c>
    </row>
    <row r="13">
      <c r="A13" s="22" t="inlineStr">
        <is>
          <t>Вместимость</t>
        </is>
      </c>
      <c r="B13" s="26" t="inlineStr">
        <is>
          <t>4–6 гостей</t>
        </is>
      </c>
    </row>
    <row r="16">
      <c r="A16" s="27" t="inlineStr">
        <is>
          <t>Календарь внутрянки (бригада 2 чел.)</t>
        </is>
      </c>
    </row>
    <row r="17">
      <c r="A17" t="inlineStr">
        <is>
          <t>1–3 дн: электрика черновая + вода/канализация + линии под конвекторы</t>
        </is>
      </c>
    </row>
    <row r="18">
      <c r="A18" t="inlineStr">
        <is>
          <t>4–8 дн: обшивка перегородок/стен ГКЛ, потолки</t>
        </is>
      </c>
    </row>
    <row r="19">
      <c r="A19" t="inlineStr">
        <is>
          <t>9–12 дн: шпаклёвка, откосы окон изнутри</t>
        </is>
      </c>
    </row>
    <row r="20">
      <c r="A20" t="inlineStr">
        <is>
          <t>13–16 дн: с/у гидроизоляция + плитка + тёплый пол</t>
        </is>
      </c>
    </row>
    <row r="21">
      <c r="A21" t="inlineStr">
        <is>
          <t>17–19 дн: покраска, ламинат, плинтуса</t>
        </is>
      </c>
    </row>
    <row r="22">
      <c r="A22" t="inlineStr">
        <is>
          <t>20–22 дн: двери, чистовая электрика, конвекторы, сантехника</t>
        </is>
      </c>
    </row>
    <row r="23">
      <c r="A23" t="inlineStr">
        <is>
          <t>23–27 дн: кухня, стиралка, кондиционер</t>
        </is>
      </c>
    </row>
    <row r="24">
      <c r="A24" t="inlineStr">
        <is>
          <t>28–32 дн: мебель, текстиль, посуда, фото для объявления</t>
        </is>
      </c>
    </row>
  </sheetData>
  <mergeCells count="8">
    <mergeCell ref="A20:B20"/>
    <mergeCell ref="A21:B21"/>
    <mergeCell ref="A24:B24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2026-09-03T17:49:23Z</dcterms:created>
  <dcterms:modified xsi:type="dcterms:W3CDTF">2026-09-03T17:49:23Z</dcterms:modified>
</cp:coreProperties>
</file>