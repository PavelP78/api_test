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итул" sheetId="1" state="visible" r:id="rId1"/>
    <sheet name="Сводка" sheetId="2" state="visible" r:id="rId2"/>
    <sheet name="Смета" sheetId="3" state="visible" r:id="rId3"/>
    <sheet name="Объёмы" sheetId="4" state="visible" r:id="rId4"/>
    <sheet name="Условия" sheetId="5" state="visible" r:id="rId5"/>
    <sheet name="Материалы заказчика" sheetId="6" state="visible" r:id="rId6"/>
  </sheets>
  <definedNames>
    <definedName name="_xlnm.Print_Area" localSheetId="0">'Титул'!$A$1:$H$39</definedName>
    <definedName name="_xlnm.Print_Area" localSheetId="1">'Сводка'!$A$1:$J$16</definedName>
    <definedName name="_xlnm.Print_Titles" localSheetId="2">'Смета'!$1:$5</definedName>
    <definedName name="_xlnm.Print_Area" localSheetId="2">'Смета'!$A$1:$G$15</definedName>
    <definedName name="_xlnm.Print_Area" localSheetId="3">'Объёмы'!$A$1:$E$8</definedName>
    <definedName name="_xlnm.Print_Area" localSheetId="4">'Условия'!$A$1:$D$24</definedName>
    <definedName name="_xlnm.Print_Area" localSheetId="5">'Материалы заказчика'!$A$1:$C$11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0.0%"/>
  </numFmts>
  <fonts count="30">
    <font>
      <name val="Calibri"/>
      <family val="2"/>
      <color theme="1"/>
      <sz val="11"/>
      <scheme val="minor"/>
    </font>
    <font>
      <name val="Calibri"/>
      <b val="1"/>
      <color rgb="00C4A35A"/>
      <sz val="12"/>
    </font>
    <font>
      <name val="Calibri"/>
      <i val="1"/>
      <color rgb="005C6670"/>
      <sz val="10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i val="1"/>
      <color rgb="003D5A80"/>
      <sz val="9"/>
    </font>
    <font>
      <name val="Calibri"/>
      <color rgb="001F2933"/>
      <sz val="11"/>
    </font>
    <font>
      <name val="Calibri"/>
      <b val="1"/>
      <color rgb="001F2933"/>
      <sz val="11"/>
    </font>
    <font>
      <name val="Calibri"/>
      <b val="1"/>
      <color rgb="001B365D"/>
      <sz val="10"/>
    </font>
    <font>
      <name val="Calibri"/>
      <b val="1"/>
      <color rgb="001B365D"/>
      <sz val="12"/>
    </font>
    <font>
      <name val="Calibri"/>
      <b val="1"/>
      <color rgb="00FFFFFF"/>
      <sz val="14"/>
    </font>
    <font>
      <name val="Calibri"/>
      <b val="1"/>
      <color rgb="00C4A35A"/>
      <sz val="16"/>
    </font>
    <font>
      <name val="Calibri"/>
      <i val="1"/>
      <color rgb="00E6D3A3"/>
      <sz val="10"/>
    </font>
    <font>
      <name val="Calibri"/>
      <i val="1"/>
      <color rgb="003D5A80"/>
      <sz val="11"/>
    </font>
    <font>
      <name val="Calibri"/>
      <color rgb="005C6670"/>
      <sz val="9"/>
    </font>
    <font>
      <name val="Calibri"/>
      <b val="1"/>
      <color rgb="00C4A35A"/>
      <sz val="13"/>
    </font>
    <font>
      <name val="Calibri"/>
      <b val="1"/>
      <color rgb="00C4A35A"/>
      <sz val="14"/>
    </font>
    <font>
      <name val="Calibri"/>
      <b val="1"/>
      <color rgb="00E6D3A3"/>
      <sz val="12"/>
    </font>
    <font>
      <name val="Calibri"/>
      <color rgb="001F2933"/>
      <sz val="10"/>
    </font>
    <font>
      <name val="Calibri"/>
      <b val="1"/>
      <color rgb="001B365D"/>
      <sz val="28"/>
    </font>
    <font>
      <name val="Calibri"/>
      <color rgb="003D5A80"/>
      <sz val="13"/>
    </font>
    <font>
      <name val="Calibri"/>
      <b val="1"/>
      <color rgb="00C4A35A"/>
      <sz val="10"/>
    </font>
    <font>
      <name val="Calibri"/>
      <b val="1"/>
      <color rgb="00FFFFFF"/>
      <sz val="28"/>
    </font>
    <font>
      <name val="Calibri"/>
      <color rgb="00E6D3A3"/>
      <sz val="9"/>
    </font>
    <font>
      <name val="Calibri"/>
      <color rgb="001F2933"/>
      <sz val="9"/>
    </font>
    <font>
      <name val="Calibri"/>
      <color rgb="001B365D"/>
      <sz val="10"/>
    </font>
    <font>
      <name val="Calibri"/>
      <i val="1"/>
      <color rgb="005C6670"/>
      <sz val="8"/>
    </font>
    <font>
      <name val="Calibri"/>
      <color rgb="003D5A80"/>
      <sz val="10"/>
    </font>
    <font>
      <name val="Calibri"/>
      <b val="1"/>
      <color rgb="001F2933"/>
      <sz val="10"/>
    </font>
    <font>
      <name val="Calibri"/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FBF8F2"/>
      </patternFill>
    </fill>
    <fill>
      <patternFill patternType="solid">
        <fgColor rgb="0012243F"/>
      </patternFill>
    </fill>
    <fill>
      <patternFill patternType="solid">
        <fgColor rgb="00C4A35A"/>
      </patternFill>
    </fill>
    <fill>
      <patternFill patternType="solid">
        <fgColor rgb="001B365D"/>
      </patternFill>
    </fill>
    <fill>
      <patternFill patternType="solid">
        <fgColor rgb="003D5A80"/>
      </patternFill>
    </fill>
    <fill>
      <patternFill patternType="solid">
        <fgColor rgb="00F3EBDD"/>
      </patternFill>
    </fill>
    <fill>
      <patternFill patternType="solid">
        <fgColor rgb="00FFFFFF"/>
      </patternFill>
    </fill>
    <fill>
      <patternFill patternType="solid">
        <fgColor rgb="00F7F3EA"/>
      </patternFill>
    </fill>
    <fill>
      <patternFill patternType="solid">
        <fgColor rgb="00E7EEF6"/>
      </patternFill>
    </fill>
    <fill>
      <patternFill patternType="solid">
        <fgColor rgb="00EEF3F8"/>
      </patternFill>
    </fill>
    <fill>
      <patternFill patternType="solid">
        <fgColor rgb="002F6B4F"/>
      </patternFill>
    </fill>
    <fill>
      <patternFill patternType="solid">
        <fgColor rgb="00A65D3F"/>
      </patternFill>
    </fill>
    <fill>
      <patternFill patternType="solid">
        <fgColor rgb="00F3F7F4"/>
      </patternFill>
    </fill>
    <fill>
      <patternFill patternType="solid">
        <fgColor rgb="00F8F1EC"/>
      </patternFill>
    </fill>
  </fills>
  <borders count="6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thin">
        <color rgb="001B365D"/>
      </top>
      <bottom style="thin">
        <color rgb="001B365D"/>
      </bottom>
    </border>
    <border>
      <left style="thin">
        <color rgb="003D5A80"/>
      </left>
      <right style="thin">
        <color rgb="003D5A80"/>
      </right>
      <top style="thin">
        <color rgb="003D5A80"/>
      </top>
      <bottom style="thin">
        <color rgb="003D5A80"/>
      </bottom>
    </border>
    <border>
      <left style="thin">
        <color rgb="00E8E0D4"/>
      </left>
      <right style="thin">
        <color rgb="00E8E0D4"/>
      </right>
      <top style="thin">
        <color rgb="00E8E0D4"/>
      </top>
      <bottom style="thin">
        <color rgb="00E8E0D4"/>
      </bottom>
    </border>
    <border>
      <left style="thin">
        <color rgb="00D7CDBD"/>
      </left>
      <right style="thin">
        <color rgb="00D7CDBD"/>
      </right>
      <top style="thin">
        <color rgb="00D7CDBD"/>
      </top>
      <bottom style="thin">
        <color rgb="00D7CDBD"/>
      </bottom>
    </border>
    <border>
      <left style="thin">
        <color rgb="0012243F"/>
      </left>
      <right style="thin">
        <color rgb="0012243F"/>
      </right>
      <top style="thin">
        <color rgb="0012243F"/>
      </top>
      <bottom style="thin">
        <color rgb="0012243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2" borderId="0" pivotButton="0" quotePrefix="0" xfId="0"/>
    <xf numFmtId="0" fontId="19" fillId="2" borderId="0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8" fillId="8" borderId="3" applyAlignment="1" pivotButton="0" quotePrefix="0" xfId="0">
      <alignment horizontal="left" vertical="center" wrapText="1"/>
    </xf>
    <xf numFmtId="0" fontId="0" fillId="8" borderId="3" pivotButton="0" quotePrefix="0" xfId="0"/>
    <xf numFmtId="0" fontId="18" fillId="8" borderId="3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left" vertical="center" wrapText="1"/>
    </xf>
    <xf numFmtId="0" fontId="0" fillId="7" borderId="3" pivotButton="0" quotePrefix="0" xfId="0"/>
    <xf numFmtId="0" fontId="18" fillId="7" borderId="3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22" fillId="5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9" fillId="2" borderId="0" pivotButton="0" quotePrefix="0" xfId="0"/>
    <xf numFmtId="0" fontId="6" fillId="8" borderId="3" applyAlignment="1" pivotButton="0" quotePrefix="0" xfId="0">
      <alignment horizontal="left" vertical="center" wrapText="1"/>
    </xf>
    <xf numFmtId="164" fontId="9" fillId="8" borderId="3" applyAlignment="1" pivotButton="0" quotePrefix="0" xfId="0">
      <alignment horizontal="right" vertical="center" wrapText="1"/>
    </xf>
    <xf numFmtId="0" fontId="6" fillId="11" borderId="3" applyAlignment="1" pivotButton="0" quotePrefix="0" xfId="0">
      <alignment horizontal="left" vertical="center" wrapText="1"/>
    </xf>
    <xf numFmtId="0" fontId="0" fillId="11" borderId="3" pivotButton="0" quotePrefix="0" xfId="0"/>
    <xf numFmtId="164" fontId="9" fillId="11" borderId="3" applyAlignment="1" pivotButton="0" quotePrefix="0" xfId="0">
      <alignment horizontal="right" vertical="center" wrapText="1"/>
    </xf>
    <xf numFmtId="0" fontId="3" fillId="12" borderId="0" applyAlignment="1" pivotButton="0" quotePrefix="0" xfId="0">
      <alignment horizontal="center" vertical="center" wrapText="1"/>
    </xf>
    <xf numFmtId="0" fontId="0" fillId="12" borderId="0" pivotButton="0" quotePrefix="0" xfId="0"/>
    <xf numFmtId="0" fontId="3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24" fillId="8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24" fillId="14" borderId="0" applyAlignment="1" pivotButton="0" quotePrefix="0" xfId="0">
      <alignment horizontal="left" vertical="center" wrapText="1"/>
    </xf>
    <xf numFmtId="0" fontId="0" fillId="14" borderId="0" pivotButton="0" quotePrefix="0" xfId="0"/>
    <xf numFmtId="0" fontId="24" fillId="15" borderId="0" applyAlignment="1" pivotButton="0" quotePrefix="0" xfId="0">
      <alignment horizontal="left" vertical="center" wrapText="1"/>
    </xf>
    <xf numFmtId="0" fontId="0" fillId="15" borderId="0" pivotButton="0" quotePrefix="0" xfId="0"/>
    <xf numFmtId="0" fontId="8" fillId="2" borderId="0" pivotButton="0" quotePrefix="0" xfId="0"/>
    <xf numFmtId="0" fontId="25" fillId="2" borderId="0" pivotButton="0" quotePrefix="0" xfId="0"/>
    <xf numFmtId="0" fontId="26" fillId="2" borderId="0" pivotButton="0" quotePrefix="0" xfId="0"/>
    <xf numFmtId="0" fontId="26" fillId="2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3" fontId="9" fillId="8" borderId="3" applyAlignment="1" pivotButton="0" quotePrefix="0" xfId="0">
      <alignment horizontal="right" vertical="center" wrapText="1"/>
    </xf>
    <xf numFmtId="165" fontId="6" fillId="8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left" vertical="center" wrapText="1"/>
    </xf>
    <xf numFmtId="3" fontId="9" fillId="9" borderId="3" applyAlignment="1" pivotButton="0" quotePrefix="0" xfId="0">
      <alignment horizontal="right" vertical="center" wrapText="1"/>
    </xf>
    <xf numFmtId="165" fontId="6" fillId="9" borderId="3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left" vertical="center" wrapText="1"/>
    </xf>
    <xf numFmtId="164" fontId="16" fillId="5" borderId="5" applyAlignment="1" pivotButton="0" quotePrefix="0" xfId="0">
      <alignment horizontal="right" vertical="center" wrapText="1"/>
    </xf>
    <xf numFmtId="0" fontId="17" fillId="5" borderId="5" applyAlignment="1" pivotButton="0" quotePrefix="0" xfId="0">
      <alignment horizontal="center" vertical="center" wrapText="1"/>
    </xf>
    <xf numFmtId="0" fontId="13" fillId="2" borderId="0" pivotButton="0" quotePrefix="0" xfId="0"/>
    <xf numFmtId="0" fontId="18" fillId="8" borderId="0" pivotButton="0" quotePrefix="0" xfId="0"/>
    <xf numFmtId="0" fontId="18" fillId="7" borderId="0" pivotButton="0" quotePrefix="0" xfId="0"/>
    <xf numFmtId="0" fontId="0" fillId="7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1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5" fillId="7" borderId="0" applyAlignment="1" pivotButton="0" quotePrefix="0" xfId="0">
      <alignment horizontal="left" vertical="center" wrapText="1"/>
    </xf>
    <xf numFmtId="0" fontId="6" fillId="8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left" vertical="center" wrapText="1"/>
    </xf>
    <xf numFmtId="1" fontId="6" fillId="8" borderId="3" applyAlignment="1" pivotButton="0" quotePrefix="0" xfId="0">
      <alignment horizontal="center" vertical="center" wrapText="1"/>
    </xf>
    <xf numFmtId="3" fontId="6" fillId="8" borderId="3" applyAlignment="1" pivotButton="0" quotePrefix="0" xfId="0">
      <alignment horizontal="right" vertical="center" wrapText="1"/>
    </xf>
    <xf numFmtId="3" fontId="7" fillId="8" borderId="3" applyAlignment="1" pivotButton="0" quotePrefix="0" xfId="0">
      <alignment horizontal="right" vertical="center" wrapText="1"/>
    </xf>
    <xf numFmtId="0" fontId="6" fillId="9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left" vertical="center" wrapText="1"/>
    </xf>
    <xf numFmtId="1" fontId="6" fillId="9" borderId="3" applyAlignment="1" pivotButton="0" quotePrefix="0" xfId="0">
      <alignment horizontal="center" vertical="center" wrapText="1"/>
    </xf>
    <xf numFmtId="3" fontId="6" fillId="9" borderId="3" applyAlignment="1" pivotButton="0" quotePrefix="0" xfId="0">
      <alignment horizontal="right" vertical="center" wrapText="1"/>
    </xf>
    <xf numFmtId="3" fontId="7" fillId="9" borderId="3" applyAlignment="1" pivotButton="0" quotePrefix="0" xfId="0">
      <alignment horizontal="right" vertical="center" wrapText="1"/>
    </xf>
    <xf numFmtId="0" fontId="8" fillId="10" borderId="4" applyAlignment="1" pivotButton="0" quotePrefix="0" xfId="0">
      <alignment horizontal="right" vertical="center" wrapText="1"/>
    </xf>
    <xf numFmtId="0" fontId="8" fillId="10" borderId="4" pivotButton="0" quotePrefix="0" xfId="0"/>
    <xf numFmtId="3" fontId="9" fillId="10" borderId="4" applyAlignment="1" pivotButton="0" quotePrefix="0" xfId="0">
      <alignment horizontal="right" vertical="center" wrapText="1"/>
    </xf>
    <xf numFmtId="0" fontId="0" fillId="10" borderId="4" pivotButton="0" quotePrefix="0" xfId="0"/>
    <xf numFmtId="0" fontId="10" fillId="5" borderId="5" applyAlignment="1" pivotButton="0" quotePrefix="0" xfId="0">
      <alignment horizontal="right" vertical="center" wrapText="1"/>
    </xf>
    <xf numFmtId="0" fontId="0" fillId="5" borderId="5" pivotButton="0" quotePrefix="0" xfId="0"/>
    <xf numFmtId="164" fontId="11" fillId="5" borderId="5" applyAlignment="1" pivotButton="0" quotePrefix="0" xfId="0">
      <alignment horizontal="right" vertical="center" wrapText="1"/>
    </xf>
    <xf numFmtId="0" fontId="12" fillId="5" borderId="5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right" vertical="center" wrapText="1"/>
    </xf>
    <xf numFmtId="0" fontId="14" fillId="2" borderId="0" applyAlignment="1" pivotButton="0" quotePrefix="0" xfId="0">
      <alignment horizontal="left" vertical="center" wrapText="1"/>
    </xf>
    <xf numFmtId="0" fontId="27" fillId="2" borderId="0" pivotButton="0" quotePrefix="0" xfId="0"/>
    <xf numFmtId="0" fontId="18" fillId="8" borderId="3" applyAlignment="1" pivotButton="0" quotePrefix="0" xfId="0">
      <alignment horizontal="center" vertical="center" wrapText="1"/>
    </xf>
    <xf numFmtId="0" fontId="28" fillId="8" borderId="3" applyAlignment="1" pivotButton="0" quotePrefix="0" xfId="0">
      <alignment horizontal="center" vertical="center" wrapText="1"/>
    </xf>
    <xf numFmtId="0" fontId="18" fillId="9" borderId="3" applyAlignment="1" pivotButton="0" quotePrefix="0" xfId="0">
      <alignment horizontal="center" vertical="center" wrapText="1"/>
    </xf>
    <xf numFmtId="0" fontId="18" fillId="9" borderId="3" applyAlignment="1" pivotButton="0" quotePrefix="0" xfId="0">
      <alignment horizontal="left" vertical="center" wrapText="1"/>
    </xf>
    <xf numFmtId="0" fontId="28" fillId="9" borderId="3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8" fillId="8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Работы по строкам, 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'Сводка'!C4</f>
            </strRef>
          </tx>
          <spPr>
            <a:solidFill>
              <a:srgbClr val="1B365D"/>
            </a:solidFill>
            <a:ln>
              <a:prstDash val="solid"/>
            </a:ln>
          </spPr>
          <cat>
            <numRef>
              <f>'Сводка'!$L$5:$L$7</f>
            </numRef>
          </cat>
          <val>
            <numRef>
              <f>'Сводка'!$C$5:$C$7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H44"/>
  <sheetViews>
    <sheetView showGridLines="0" view="normal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</cols>
  <sheetData>
    <row r="1" ht="12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22" customHeight="1">
      <c r="A2" s="1" t="n"/>
      <c r="B2" s="2" t="inlineStr">
        <is>
          <t>ЛОКАЛЬНАЯ СМЕТА   ·   ТОЛЬКО РАБОТЫ</t>
        </is>
      </c>
      <c r="H2" s="1" t="n"/>
    </row>
    <row r="3" ht="8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 ht="36" customHeight="1">
      <c r="A6" s="4" t="n"/>
      <c r="B6" s="5" t="inlineStr">
        <is>
          <t>Объект Симагино</t>
        </is>
      </c>
      <c r="H6" s="4" t="n"/>
    </row>
    <row r="7" ht="22" customHeight="1">
      <c r="A7" s="4" t="n"/>
      <c r="B7" s="6" t="inlineStr">
        <is>
          <t>Зал: грунтовка стен, поклейка обоев, покраска</t>
        </is>
      </c>
      <c r="H7" s="4" t="n"/>
    </row>
    <row r="8" ht="18" customHeight="1">
      <c r="A8" s="4" t="n"/>
      <c r="B8" s="7" t="inlineStr">
        <is>
          <t>ЛС-СИМ-02 от 05.10.2026   ·   материалы в смету не входят</t>
        </is>
      </c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 ht="20" customHeight="1">
      <c r="A10" s="4" t="n"/>
      <c r="B10" s="8" t="inlineStr">
        <is>
          <t>Объект</t>
        </is>
      </c>
      <c r="C10" s="9" t="n"/>
      <c r="D10" s="10" t="inlineStr">
        <is>
          <t>Симагино</t>
        </is>
      </c>
      <c r="E10" s="9" t="n"/>
      <c r="F10" s="9" t="n"/>
      <c r="G10" s="9" t="n"/>
      <c r="H10" s="4" t="n"/>
    </row>
    <row r="11" ht="20" customHeight="1">
      <c r="A11" s="4" t="n"/>
      <c r="B11" s="11" t="inlineStr">
        <is>
          <t>Помещение</t>
        </is>
      </c>
      <c r="C11" s="12" t="n"/>
      <c r="D11" s="13" t="inlineStr">
        <is>
          <t>Зал</t>
        </is>
      </c>
      <c r="E11" s="12" t="n"/>
      <c r="F11" s="12" t="n"/>
      <c r="G11" s="12" t="n"/>
      <c r="H11" s="4" t="n"/>
    </row>
    <row r="12" ht="20" customHeight="1">
      <c r="A12" s="4" t="n"/>
      <c r="B12" s="8" t="inlineStr">
        <is>
          <t>Состав</t>
        </is>
      </c>
      <c r="C12" s="9" t="n"/>
      <c r="D12" s="10" t="inlineStr">
        <is>
          <t>Три работы: грунт стен, поклейка обоев, покраска</t>
        </is>
      </c>
      <c r="E12" s="9" t="n"/>
      <c r="F12" s="9" t="n"/>
      <c r="G12" s="9" t="n"/>
      <c r="H12" s="4" t="n"/>
    </row>
    <row r="13" ht="20" customHeight="1">
      <c r="A13" s="4" t="n"/>
      <c r="B13" s="11" t="inlineStr">
        <is>
          <t>Не входит</t>
        </is>
      </c>
      <c r="C13" s="12" t="n"/>
      <c r="D13" s="13" t="inlineStr">
        <is>
          <t>Материалы, шпаклёвка, демонтаж старых обоев, вынос мебели</t>
        </is>
      </c>
      <c r="E13" s="12" t="n"/>
      <c r="F13" s="12" t="n"/>
      <c r="G13" s="12" t="n"/>
      <c r="H13" s="4" t="n"/>
    </row>
    <row r="14" ht="20" customHeight="1">
      <c r="A14" s="4" t="n"/>
      <c r="B14" s="8" t="inlineStr">
        <is>
          <t>Объёмы</t>
        </is>
      </c>
      <c r="C14" s="9" t="n"/>
      <c r="D14" s="10" t="inlineStr">
        <is>
          <t>Договорные, приняты под фиксированный итог 50 000 ₽</t>
        </is>
      </c>
      <c r="E14" s="9" t="n"/>
      <c r="F14" s="9" t="n"/>
      <c r="G14" s="9" t="n"/>
      <c r="H14" s="4" t="n"/>
    </row>
    <row r="15" ht="20" customHeight="1">
      <c r="A15" s="4" t="n"/>
      <c r="B15" s="11" t="inlineStr">
        <is>
          <t>Пересчёт</t>
        </is>
      </c>
      <c r="C15" s="12" t="n"/>
      <c r="D15" s="13" t="inlineStr">
        <is>
          <t>Новое количество × расценка строки</t>
        </is>
      </c>
      <c r="E15" s="12" t="n"/>
      <c r="F15" s="12" t="n"/>
      <c r="G15" s="12" t="n"/>
      <c r="H15" s="4" t="n"/>
    </row>
    <row r="16" ht="20" customHeight="1">
      <c r="A16" s="4" t="n"/>
      <c r="B16" s="8" t="inlineStr">
        <is>
          <t>Срок сметы</t>
        </is>
      </c>
      <c r="C16" s="9" t="n"/>
      <c r="D16" s="10" t="inlineStr">
        <is>
          <t>30 календарных дней</t>
        </is>
      </c>
      <c r="E16" s="9" t="n"/>
      <c r="F16" s="9" t="n"/>
      <c r="G16" s="9" t="n"/>
      <c r="H16" s="4" t="n"/>
    </row>
    <row r="17" ht="20" customHeight="1">
      <c r="A17" s="4" t="n"/>
      <c r="B17" s="11" t="inlineStr">
        <is>
          <t>НДС</t>
        </is>
      </c>
      <c r="C17" s="12" t="n"/>
      <c r="D17" s="13" t="inlineStr">
        <is>
          <t>Не выделен</t>
        </is>
      </c>
      <c r="E17" s="12" t="n"/>
      <c r="F17" s="12" t="n"/>
      <c r="G17" s="12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 ht="18" customHeight="1">
      <c r="A19" s="4" t="n"/>
      <c r="B19" s="14" t="inlineStr">
        <is>
          <t>ИТОГО РАБОТЫ</t>
        </is>
      </c>
      <c r="C19" s="15" t="n"/>
      <c r="D19" s="15" t="n"/>
      <c r="E19" s="15" t="n"/>
      <c r="F19" s="15" t="n"/>
      <c r="G19" s="15" t="n"/>
      <c r="H19" s="4" t="n"/>
    </row>
    <row r="20" ht="34" customHeight="1">
      <c r="A20" s="4" t="n"/>
      <c r="B20" s="16">
        <f>Смета!F13</f>
        <v/>
      </c>
      <c r="C20" s="15" t="n"/>
      <c r="D20" s="15" t="n"/>
      <c r="E20" s="15" t="n"/>
      <c r="F20" s="15" t="n"/>
      <c r="G20" s="15" t="n"/>
      <c r="H20" s="4" t="n"/>
    </row>
    <row r="21" ht="18" customHeight="1">
      <c r="A21" s="4" t="n"/>
      <c r="B21" s="17" t="inlineStr">
        <is>
          <t>без материалов</t>
        </is>
      </c>
      <c r="C21" s="15" t="n"/>
      <c r="D21" s="15" t="n"/>
      <c r="E21" s="15" t="n"/>
      <c r="F21" s="15" t="n"/>
      <c r="G21" s="15" t="n"/>
      <c r="H21" s="4" t="n"/>
    </row>
    <row r="22" ht="22" customHeight="1">
      <c r="A22" s="4" t="n"/>
      <c r="B22" s="18" t="inlineStr">
        <is>
          <t>Пятьдесят тысяч рублей 00 копеек</t>
        </is>
      </c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19" t="inlineStr">
        <is>
          <t>Строки сметы</t>
        </is>
      </c>
      <c r="H24" s="4" t="n"/>
    </row>
    <row r="25" ht="24" customHeight="1">
      <c r="A25" s="4" t="n"/>
      <c r="B25" s="20" t="inlineStr">
        <is>
          <t>1.1.  Грунтовка стен зала</t>
        </is>
      </c>
      <c r="C25" s="9" t="n"/>
      <c r="D25" s="9" t="n"/>
      <c r="E25" s="9" t="n"/>
      <c r="F25" s="21" t="n">
        <v>5000</v>
      </c>
      <c r="G25" s="9" t="n"/>
      <c r="H25" s="4" t="n"/>
    </row>
    <row r="26" ht="24" customHeight="1">
      <c r="A26" s="4" t="n"/>
      <c r="B26" s="22" t="inlineStr">
        <is>
          <t>1.2.  Поклейка обоев</t>
        </is>
      </c>
      <c r="C26" s="23" t="n"/>
      <c r="D26" s="23" t="n"/>
      <c r="E26" s="23" t="n"/>
      <c r="F26" s="24" t="n">
        <v>25000</v>
      </c>
      <c r="G26" s="23" t="n"/>
      <c r="H26" s="4" t="n"/>
    </row>
    <row r="27" ht="24" customHeight="1">
      <c r="A27" s="4" t="n"/>
      <c r="B27" s="20" t="inlineStr">
        <is>
          <t>1.3.  Покраска</t>
        </is>
      </c>
      <c r="C27" s="9" t="n"/>
      <c r="D27" s="9" t="n"/>
      <c r="E27" s="9" t="n"/>
      <c r="F27" s="21" t="n">
        <v>20000</v>
      </c>
      <c r="G27" s="9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 ht="18" customHeight="1">
      <c r="A29" s="4" t="n"/>
      <c r="B29" s="25" t="inlineStr">
        <is>
          <t>ВХОДИТ</t>
        </is>
      </c>
      <c r="C29" s="26" t="n"/>
      <c r="D29" s="26" t="n"/>
      <c r="E29" s="27" t="inlineStr">
        <is>
          <t>НЕ ВХОДИТ</t>
        </is>
      </c>
      <c r="F29" s="28" t="n"/>
      <c r="G29" s="28" t="n"/>
      <c r="H29" s="4" t="n"/>
    </row>
    <row r="30" ht="28" customHeight="1">
      <c r="A30" s="4" t="n"/>
      <c r="B30" s="29" t="inlineStr">
        <is>
          <t>1.  Грунтовка стен зала</t>
        </is>
      </c>
      <c r="C30" s="30" t="n"/>
      <c r="D30" s="30" t="n"/>
      <c r="E30" s="29" t="inlineStr">
        <is>
          <t>1.  Грунт, обои, клей, краска и расходники</t>
        </is>
      </c>
      <c r="F30" s="30" t="n"/>
      <c r="G30" s="30" t="n"/>
      <c r="H30" s="4" t="n"/>
    </row>
    <row r="31" ht="28" customHeight="1">
      <c r="A31" s="4" t="n"/>
      <c r="B31" s="31" t="inlineStr">
        <is>
          <t>2.  Поклейка обоев</t>
        </is>
      </c>
      <c r="C31" s="32" t="n"/>
      <c r="D31" s="32" t="n"/>
      <c r="E31" s="33" t="inlineStr">
        <is>
          <t>2.  Шпаклёвка и вышкуривание стен</t>
        </is>
      </c>
      <c r="F31" s="34" t="n"/>
      <c r="G31" s="34" t="n"/>
      <c r="H31" s="4" t="n"/>
    </row>
    <row r="32" ht="28" customHeight="1">
      <c r="A32" s="4" t="n"/>
      <c r="B32" s="29" t="inlineStr">
        <is>
          <t>3.  Покраска потолка и поверхностей без обоев</t>
        </is>
      </c>
      <c r="C32" s="30" t="n"/>
      <c r="D32" s="30" t="n"/>
      <c r="E32" s="29" t="inlineStr">
        <is>
          <t>3.  Демонтаж старых обоев и вынос мебели</t>
        </is>
      </c>
      <c r="F32" s="30" t="n"/>
      <c r="G32" s="30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35" t="inlineStr">
        <is>
          <t>Заказчик</t>
        </is>
      </c>
      <c r="D34" s="4" t="n"/>
      <c r="E34" s="35" t="inlineStr">
        <is>
          <t>Исполнитель</t>
        </is>
      </c>
      <c r="H34" s="4" t="n"/>
    </row>
    <row r="35">
      <c r="A35" s="4" t="n"/>
      <c r="B35" s="36" t="inlineStr">
        <is>
          <t>______________________________</t>
        </is>
      </c>
      <c r="D35" s="4" t="n"/>
      <c r="E35" s="36" t="inlineStr">
        <is>
          <t>______________________________</t>
        </is>
      </c>
      <c r="H35" s="4" t="n"/>
    </row>
    <row r="36">
      <c r="A36" s="4" t="n"/>
      <c r="B36" s="37" t="inlineStr">
        <is>
          <t>подпись, расшифровка</t>
        </is>
      </c>
      <c r="D36" s="4" t="n"/>
      <c r="E36" s="37" t="inlineStr">
        <is>
          <t>подпись, расшифровка</t>
        </is>
      </c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 ht="28" customHeight="1">
      <c r="A38" s="4" t="n"/>
      <c r="B38" s="38" t="inlineStr">
        <is>
          <t>Смета по объекту Симагино, помещение зал. Итог работ 50 000 ₽. Объёмы договорные — лист «Объёмы».</t>
        </is>
      </c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</sheetData>
  <mergeCells count="46">
    <mergeCell ref="B2:G2"/>
    <mergeCell ref="B16:C16"/>
    <mergeCell ref="D12:G12"/>
    <mergeCell ref="F25:G25"/>
    <mergeCell ref="E31:G31"/>
    <mergeCell ref="B8:G8"/>
    <mergeCell ref="E34:G34"/>
    <mergeCell ref="D15:G15"/>
    <mergeCell ref="E30:G30"/>
    <mergeCell ref="B29:D29"/>
    <mergeCell ref="D14:G14"/>
    <mergeCell ref="B12:C12"/>
    <mergeCell ref="B38:G38"/>
    <mergeCell ref="B19:G19"/>
    <mergeCell ref="B26:E26"/>
    <mergeCell ref="E36:G36"/>
    <mergeCell ref="B11:C11"/>
    <mergeCell ref="B14:C14"/>
    <mergeCell ref="B25:E25"/>
    <mergeCell ref="B30:D30"/>
    <mergeCell ref="B17:C17"/>
    <mergeCell ref="D10:G10"/>
    <mergeCell ref="F26:G26"/>
    <mergeCell ref="B6:G6"/>
    <mergeCell ref="B13:C13"/>
    <mergeCell ref="B24:G24"/>
    <mergeCell ref="B20:G20"/>
    <mergeCell ref="B27:E27"/>
    <mergeCell ref="E32:G32"/>
    <mergeCell ref="B34:C34"/>
    <mergeCell ref="B32:D32"/>
    <mergeCell ref="B10:C10"/>
    <mergeCell ref="D11:G11"/>
    <mergeCell ref="D13:G13"/>
    <mergeCell ref="F27:G27"/>
    <mergeCell ref="B7:G7"/>
    <mergeCell ref="D17:G17"/>
    <mergeCell ref="B15:C15"/>
    <mergeCell ref="B22:G22"/>
    <mergeCell ref="B31:D31"/>
    <mergeCell ref="D16:G16"/>
    <mergeCell ref="B36:C36"/>
    <mergeCell ref="E35:G35"/>
    <mergeCell ref="B21:G21"/>
    <mergeCell ref="E29:G29"/>
    <mergeCell ref="B35:C35"/>
  </mergeCells>
  <printOptions horizontalCentered="1"/>
  <pageMargins left="0.45" right="0.45" top="0.65" bottom="0.55" header="0.25" footer="0.25"/>
  <pageSetup orientation="portrait" paperSize="9" fitToHeight="1" fitToWidth="1"/>
  <headerFooter>
    <oddHeader>&amp;L&amp;K1B365DЛС-СИМ-02  ·  Симагино  ·  Зал&amp;R&amp;K5C6670только работы</oddHeader>
    <oddFooter>&amp;L&amp;K5C6670Титульный лист&amp;C&amp;K5C6670стр. &amp;P из &amp;N&amp;R&amp;K5C667050 000 ₽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D5A80"/>
    <outlinePr summaryBelow="1" summaryRight="1"/>
    <pageSetUpPr fitToPage="1"/>
  </sheetPr>
  <dimension ref="A1:L24"/>
  <sheetViews>
    <sheetView showGridLines="0" view="normal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4" customWidth="1" min="5" max="5"/>
    <col width="18" customWidth="1" min="6" max="6"/>
    <col width="16" customWidth="1" min="7" max="7"/>
    <col width="16" customWidth="1" min="8" max="8"/>
    <col width="16" customWidth="1" min="9" max="9"/>
    <col width="4" customWidth="1" min="10" max="10"/>
    <col hidden="1" width="13" customWidth="1" min="12" max="12"/>
  </cols>
  <sheetData>
    <row r="1" ht="24" customHeight="1">
      <c r="A1" s="1" t="n"/>
      <c r="B1" s="39" t="inlineStr">
        <is>
          <t>СВОДКА   ·   СИМАГИНО   ·   ЗАЛ   ·   ТОЛЬКО РАБОТЫ</t>
        </is>
      </c>
      <c r="E1" s="1" t="n"/>
      <c r="F1" s="1" t="n"/>
      <c r="G1" s="1" t="n"/>
      <c r="H1" s="1" t="n"/>
      <c r="I1" s="1" t="n"/>
      <c r="J1" s="1" t="n"/>
    </row>
    <row r="2" ht="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n"/>
      <c r="B4" s="40" t="inlineStr">
        <is>
          <t>Работа</t>
        </is>
      </c>
      <c r="C4" s="40" t="inlineStr">
        <is>
          <t>Сумма, ₽</t>
        </is>
      </c>
      <c r="D4" s="40" t="inlineStr">
        <is>
          <t>Доля</t>
        </is>
      </c>
      <c r="E4" s="4" t="n"/>
      <c r="F4" s="4" t="n"/>
      <c r="G4" s="4" t="n"/>
      <c r="H4" s="4" t="n"/>
      <c r="I4" s="4" t="n"/>
      <c r="J4" s="4" t="n"/>
    </row>
    <row r="5" ht="24" customHeight="1">
      <c r="A5" s="4" t="n"/>
      <c r="B5" s="20" t="inlineStr">
        <is>
          <t>1.1.  Грунтовка стен зала</t>
        </is>
      </c>
      <c r="C5" s="41">
        <f>Смета!F8</f>
        <v/>
      </c>
      <c r="D5" s="42">
        <f>IF(Смета!F13=0,0,C5/Смета!F13)</f>
        <v/>
      </c>
      <c r="E5" s="4" t="n"/>
      <c r="F5" s="4" t="n"/>
      <c r="G5" s="4" t="n"/>
      <c r="H5" s="4" t="n"/>
      <c r="I5" s="4" t="n"/>
      <c r="J5" s="4" t="n"/>
      <c r="L5" t="inlineStr">
        <is>
          <t>Грунтовка</t>
        </is>
      </c>
    </row>
    <row r="6" ht="24" customHeight="1">
      <c r="A6" s="4" t="n"/>
      <c r="B6" s="43" t="inlineStr">
        <is>
          <t>1.2.  Поклейка обоев</t>
        </is>
      </c>
      <c r="C6" s="44">
        <f>Смета!F9</f>
        <v/>
      </c>
      <c r="D6" s="45">
        <f>IF(Смета!F13=0,0,C6/Смета!F13)</f>
        <v/>
      </c>
      <c r="E6" s="4" t="n"/>
      <c r="F6" s="4" t="n"/>
      <c r="G6" s="4" t="n"/>
      <c r="H6" s="4" t="n"/>
      <c r="I6" s="4" t="n"/>
      <c r="J6" s="4" t="n"/>
      <c r="L6" t="inlineStr">
        <is>
          <t>Обои</t>
        </is>
      </c>
    </row>
    <row r="7" ht="24" customHeight="1">
      <c r="A7" s="4" t="n"/>
      <c r="B7" s="20" t="inlineStr">
        <is>
          <t>1.3.  Покраска</t>
        </is>
      </c>
      <c r="C7" s="41">
        <f>Смета!F10</f>
        <v/>
      </c>
      <c r="D7" s="42">
        <f>IF(Смета!F13=0,0,C7/Смета!F13)</f>
        <v/>
      </c>
      <c r="E7" s="4" t="n"/>
      <c r="F7" s="4" t="n"/>
      <c r="G7" s="4" t="n"/>
      <c r="H7" s="4" t="n"/>
      <c r="I7" s="4" t="n"/>
      <c r="J7" s="4" t="n"/>
      <c r="L7" t="inlineStr">
        <is>
          <t>Покраска</t>
        </is>
      </c>
    </row>
    <row r="8" ht="28" customHeight="1">
      <c r="A8" s="4" t="n"/>
      <c r="B8" s="46" t="inlineStr">
        <is>
          <t>Итого работы</t>
        </is>
      </c>
      <c r="C8" s="47">
        <f>Смета!F13</f>
        <v/>
      </c>
      <c r="D8" s="48" t="inlineStr">
        <is>
          <t>100%</t>
        </is>
      </c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 ht="22" customHeight="1">
      <c r="A10" s="4" t="n"/>
      <c r="B10" s="49" t="inlineStr">
        <is>
          <t>Пятьдесят тысяч рублей 00 копеек</t>
        </is>
      </c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19" t="inlineStr">
        <is>
          <t>Как читать</t>
        </is>
      </c>
      <c r="E12" s="4" t="n"/>
      <c r="F12" s="4" t="n"/>
      <c r="G12" s="4" t="n"/>
      <c r="H12" s="4" t="n"/>
      <c r="I12" s="4" t="n"/>
      <c r="J12" s="4" t="n"/>
    </row>
    <row r="13" ht="22" customHeight="1">
      <c r="A13" s="4" t="n"/>
      <c r="B13" s="50" t="inlineStr">
        <is>
          <t>1.  В смету входят только три работы: грунт стен зала, поклейка обоев и покраска.</t>
        </is>
      </c>
      <c r="C13" s="30" t="n"/>
      <c r="D13" s="30" t="n"/>
      <c r="E13" s="4" t="n"/>
      <c r="F13" s="4" t="n"/>
      <c r="G13" s="4" t="n"/>
      <c r="H13" s="4" t="n"/>
      <c r="I13" s="4" t="n"/>
      <c r="J13" s="4" t="n"/>
    </row>
    <row r="14" ht="22" customHeight="1">
      <c r="A14" s="4" t="n"/>
      <c r="B14" s="51" t="inlineStr">
        <is>
          <t>2.  Крупные строки — обои и покраска. Грунтовка — подготовка под них.</t>
        </is>
      </c>
      <c r="C14" s="52" t="n"/>
      <c r="D14" s="52" t="n"/>
      <c r="E14" s="4" t="n"/>
      <c r="F14" s="4" t="n"/>
      <c r="G14" s="4" t="n"/>
      <c r="H14" s="4" t="n"/>
      <c r="I14" s="4" t="n"/>
      <c r="J14" s="4" t="n"/>
    </row>
    <row r="15" ht="22" customHeight="1">
      <c r="A15" s="4" t="n"/>
      <c r="B15" s="50" t="inlineStr">
        <is>
          <t>3.  Количество можно заменить: сумма строки и итог пересчитаются сами.</t>
        </is>
      </c>
      <c r="C15" s="30" t="n"/>
      <c r="D15" s="30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</sheetData>
  <mergeCells count="6">
    <mergeCell ref="B10:D10"/>
    <mergeCell ref="B14:D14"/>
    <mergeCell ref="B15:D15"/>
    <mergeCell ref="B1:D1"/>
    <mergeCell ref="B13:D13"/>
    <mergeCell ref="B12:D12"/>
  </mergeCells>
  <printOptions horizontalCentered="1"/>
  <pageMargins left="0.45" right="0.45" top="0.65" bottom="0.55" header="0.25" footer="0.25"/>
  <pageSetup orientation="landscape" paperSize="9" fitToHeight="1" fitToWidth="1"/>
  <headerFooter>
    <oddHeader>&amp;L&amp;K1B365DЛС-СИМ-02  ·  Симагино  ·  Зал&amp;R&amp;K5C6670только работы</oddHeader>
    <oddFooter>&amp;L&amp;K5C6670Сводка&amp;C&amp;K5C6670стр. &amp;P из &amp;N&amp;R&amp;K5C667050 000 ₽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G28"/>
  <sheetViews>
    <sheetView showGridLines="0" view="normal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  <col width="12" customWidth="1" min="4" max="4"/>
    <col width="14" customWidth="1" min="5" max="5"/>
    <col width="16" customWidth="1" min="6" max="6"/>
    <col width="52" customWidth="1" min="7" max="7"/>
  </cols>
  <sheetData>
    <row r="1" ht="22" customHeight="1">
      <c r="A1" s="2" t="inlineStr">
        <is>
          <t>ЛОКАЛЬНАЯ СМЕТА НА РАБОТЫ   ·   ЛС-СИМ-02   ·   СИМАГИНО   ·   ЗАЛ</t>
        </is>
      </c>
    </row>
    <row r="2" ht="5" customHeight="1">
      <c r="A2" s="3" t="n"/>
      <c r="B2" s="3" t="n"/>
      <c r="C2" s="3" t="n"/>
      <c r="D2" s="3" t="n"/>
      <c r="E2" s="3" t="n"/>
      <c r="F2" s="3" t="n"/>
      <c r="G2" s="3" t="n"/>
    </row>
    <row r="3" ht="18" customHeight="1">
      <c r="A3" s="53" t="inlineStr">
        <is>
          <t>Только работы. Грунт, обои, клей и краска в итог не входят.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24" customHeight="1">
      <c r="A5" s="40" t="inlineStr">
        <is>
          <t>№</t>
        </is>
      </c>
      <c r="B5" s="40" t="inlineStr">
        <is>
          <t>Наименование работ</t>
        </is>
      </c>
      <c r="C5" s="40" t="inlineStr">
        <is>
          <t>Ед. изм.</t>
        </is>
      </c>
      <c r="D5" s="40" t="inlineStr">
        <is>
          <t>Кол-во</t>
        </is>
      </c>
      <c r="E5" s="40" t="inlineStr">
        <is>
          <t>Расценка, ₽</t>
        </is>
      </c>
      <c r="F5" s="40" t="inlineStr">
        <is>
          <t>Сумма, ₽</t>
        </is>
      </c>
      <c r="G5" s="40" t="inlineStr">
        <is>
          <t>Что входит в строку</t>
        </is>
      </c>
    </row>
    <row r="6" ht="22" customHeight="1">
      <c r="A6" s="54" t="inlineStr">
        <is>
          <t>1</t>
        </is>
      </c>
      <c r="B6" s="55" t="inlineStr">
        <is>
          <t>Отделка зала</t>
        </is>
      </c>
      <c r="C6" s="56" t="n"/>
      <c r="D6" s="56" t="n"/>
      <c r="E6" s="56" t="n"/>
      <c r="F6" s="56" t="n"/>
      <c r="G6" s="56" t="n"/>
    </row>
    <row r="7" ht="20" customHeight="1">
      <c r="A7" s="57" t="inlineStr">
        <is>
          <t>Помещение — зал. Материалы (грунт, обои, клей, краска) закупает заказчик.</t>
        </is>
      </c>
    </row>
    <row r="8" ht="30" customHeight="1">
      <c r="A8" s="58" t="inlineStr">
        <is>
          <t>1.1</t>
        </is>
      </c>
      <c r="B8" s="59" t="inlineStr">
        <is>
          <t>Грунтовка стен зала</t>
        </is>
      </c>
      <c r="C8" s="58" t="inlineStr">
        <is>
          <t>м²</t>
        </is>
      </c>
      <c r="D8" s="60" t="n">
        <v>50</v>
      </c>
      <c r="E8" s="61" t="n">
        <v>100</v>
      </c>
      <c r="F8" s="62">
        <f>ROUND(D8*E8,0)</f>
        <v/>
      </c>
      <c r="G8" s="20" t="inlineStr">
        <is>
          <t>Один слой по стенам. Потолок не грунтуется</t>
        </is>
      </c>
    </row>
    <row r="9" ht="30" customHeight="1">
      <c r="A9" s="63" t="inlineStr">
        <is>
          <t>1.2</t>
        </is>
      </c>
      <c r="B9" s="64" t="inlineStr">
        <is>
          <t>Поклейка обоев</t>
        </is>
      </c>
      <c r="C9" s="63" t="inlineStr">
        <is>
          <t>м²</t>
        </is>
      </c>
      <c r="D9" s="65" t="n">
        <v>50</v>
      </c>
      <c r="E9" s="66" t="n">
        <v>500</v>
      </c>
      <c r="F9" s="67">
        <f>ROUND(D9*E9,0)</f>
        <v/>
      </c>
      <c r="G9" s="43" t="inlineStr">
        <is>
          <t>Метровые или стандартные. Подгонка рисунка — по факту обоев</t>
        </is>
      </c>
    </row>
    <row r="10" ht="30" customHeight="1">
      <c r="A10" s="58" t="inlineStr">
        <is>
          <t>1.3</t>
        </is>
      </c>
      <c r="B10" s="59" t="inlineStr">
        <is>
          <t>Покраска</t>
        </is>
      </c>
      <c r="C10" s="58" t="inlineStr">
        <is>
          <t>м²</t>
        </is>
      </c>
      <c r="D10" s="60" t="n">
        <v>40</v>
      </c>
      <c r="E10" s="61" t="n">
        <v>500</v>
      </c>
      <c r="F10" s="62">
        <f>ROUND(D10*E10,0)</f>
        <v/>
      </c>
      <c r="G10" s="20" t="inlineStr">
        <is>
          <t>Потолок и поверхности без обоев. Два слоя</t>
        </is>
      </c>
    </row>
    <row r="11" ht="22" customHeight="1">
      <c r="A11" s="68" t="inlineStr">
        <is>
          <t>Итого по разделу 1.  Отделка зала</t>
        </is>
      </c>
      <c r="B11" s="69" t="n"/>
      <c r="C11" s="69" t="n"/>
      <c r="D11" s="69" t="n"/>
      <c r="E11" s="69" t="n"/>
      <c r="F11" s="70">
        <f>SUM(F8:F10)</f>
        <v/>
      </c>
      <c r="G11" s="71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 ht="30" customHeight="1">
      <c r="A13" s="72" t="inlineStr">
        <is>
          <t>ИТОГО РАБОТЫ</t>
        </is>
      </c>
      <c r="B13" s="73" t="n"/>
      <c r="C13" s="73" t="n"/>
      <c r="D13" s="73" t="n"/>
      <c r="E13" s="73" t="n"/>
      <c r="F13" s="74">
        <f>F11</f>
        <v/>
      </c>
      <c r="G13" s="75" t="inlineStr">
        <is>
          <t>без материалов</t>
        </is>
      </c>
    </row>
    <row r="14" ht="20" customHeight="1">
      <c r="A14" s="76" t="inlineStr">
        <is>
          <t>Пятьдесят тысяч рублей 00 копеек</t>
        </is>
      </c>
    </row>
    <row r="15" ht="28" customHeight="1">
      <c r="A15" s="77" t="inlineStr">
        <is>
          <t>Объёмы договорные и приняты под итог 50 000 ₽. Если на объекте количество другое — строка считается как новое количество × расценка. Дата сметы 05.10.2026. Срок действия 30 дней.</t>
        </is>
      </c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</sheetData>
  <mergeCells count="8">
    <mergeCell ref="A14:G14"/>
    <mergeCell ref="A1:G1"/>
    <mergeCell ref="A3:G3"/>
    <mergeCell ref="A11:E11"/>
    <mergeCell ref="A15:G15"/>
    <mergeCell ref="A7:G7"/>
    <mergeCell ref="A13:E13"/>
    <mergeCell ref="B6:G6"/>
  </mergeCells>
  <printOptions horizontalCentered="1"/>
  <pageMargins left="0.45" right="0.45" top="0.65" bottom="0.55" header="0.25" footer="0.25"/>
  <pageSetup orientation="landscape" paperSize="9" fitToHeight="1" fitToWidth="1"/>
  <headerFooter>
    <oddHeader>&amp;L&amp;K1B365DЛС-СИМ-02  ·  Симагино  ·  Зал&amp;R&amp;K5C6670только работы</oddHeader>
    <oddFooter>&amp;L&amp;K5C6670Локальная смета&amp;C&amp;K5C6670стр. &amp;P из &amp;N&amp;R&amp;K5C667050 000 ₽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E16"/>
  <sheetViews>
    <sheetView showGridLines="0" view="normal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6" customWidth="1" min="3" max="3"/>
    <col width="14" customWidth="1" min="4" max="4"/>
    <col width="48" customWidth="1" min="5" max="5"/>
  </cols>
  <sheetData>
    <row r="1" ht="24" customHeight="1">
      <c r="A1" s="39" t="inlineStr">
        <is>
          <t>ДОГОВОРНЫЕ ОБЪЁМЫ   ·   ЗАЛ   ·   ПОД ИТОГ 50 000 ₽</t>
        </is>
      </c>
    </row>
    <row r="2" ht="5" customHeight="1">
      <c r="A2" s="3" t="n"/>
      <c r="B2" s="3" t="n"/>
      <c r="C2" s="3" t="n"/>
      <c r="D2" s="3" t="n"/>
      <c r="E2" s="3" t="n"/>
    </row>
    <row r="3" ht="28" customHeight="1">
      <c r="A3" s="78" t="inlineStr">
        <is>
          <t>Количество ниже — основание цены. Если на объекте иначе: новое количество × расценка листа «Смета».</t>
        </is>
      </c>
    </row>
    <row r="4">
      <c r="A4" s="4" t="n"/>
      <c r="B4" s="4" t="n"/>
      <c r="C4" s="4" t="n"/>
      <c r="D4" s="4" t="n"/>
      <c r="E4" s="4" t="n"/>
    </row>
    <row r="5">
      <c r="A5" s="40" t="inlineStr">
        <is>
          <t>№</t>
        </is>
      </c>
      <c r="B5" s="40" t="inlineStr">
        <is>
          <t>Показатель</t>
        </is>
      </c>
      <c r="C5" s="40" t="inlineStr">
        <is>
          <t>Объём</t>
        </is>
      </c>
      <c r="D5" s="40" t="inlineStr">
        <is>
          <t>Пункт</t>
        </is>
      </c>
      <c r="E5" s="40" t="inlineStr">
        <is>
          <t>Пояснение</t>
        </is>
      </c>
    </row>
    <row r="6" ht="24" customHeight="1">
      <c r="A6" s="79" t="n">
        <v>1</v>
      </c>
      <c r="B6" s="10" t="inlineStr">
        <is>
          <t>Стены зала под грунтовку</t>
        </is>
      </c>
      <c r="C6" s="80" t="inlineStr">
        <is>
          <t>50 м²</t>
        </is>
      </c>
      <c r="D6" s="79" t="inlineStr">
        <is>
          <t>п. 1.1</t>
        </is>
      </c>
      <c r="E6" s="10" t="inlineStr">
        <is>
          <t>За вычетом проёмов</t>
        </is>
      </c>
    </row>
    <row r="7" ht="24" customHeight="1">
      <c r="A7" s="81" t="n">
        <v>2</v>
      </c>
      <c r="B7" s="82" t="inlineStr">
        <is>
          <t>Стены под обои</t>
        </is>
      </c>
      <c r="C7" s="83" t="inlineStr">
        <is>
          <t>50 м²</t>
        </is>
      </c>
      <c r="D7" s="81" t="inlineStr">
        <is>
          <t>п. 1.2</t>
        </is>
      </c>
      <c r="E7" s="82" t="inlineStr">
        <is>
          <t>Та же площадь стен, что и под грунт</t>
        </is>
      </c>
    </row>
    <row r="8" ht="24" customHeight="1">
      <c r="A8" s="79" t="n">
        <v>3</v>
      </c>
      <c r="B8" s="10" t="inlineStr">
        <is>
          <t>Покраска</t>
        </is>
      </c>
      <c r="C8" s="80" t="inlineStr">
        <is>
          <t>40 м²</t>
        </is>
      </c>
      <c r="D8" s="79" t="inlineStr">
        <is>
          <t>п. 1.3</t>
        </is>
      </c>
      <c r="E8" s="10" t="inlineStr">
        <is>
          <t>Потолок и поверхности без обоев</t>
        </is>
      </c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</sheetData>
  <mergeCells count="2">
    <mergeCell ref="A1:E1"/>
    <mergeCell ref="A3:E3"/>
  </mergeCells>
  <printOptions horizontalCentered="1"/>
  <pageMargins left="0.45" right="0.45" top="0.65" bottom="0.55" header="0.25" footer="0.25"/>
  <pageSetup orientation="landscape" paperSize="9" fitToHeight="1" fitToWidth="1"/>
  <headerFooter>
    <oddHeader>&amp;L&amp;K1B365DЛС-СИМ-02  ·  Симагино  ·  Зал&amp;R&amp;K5C6670только работы</oddHeader>
    <oddFooter>&amp;L&amp;K5C6670Договорные объёмы&amp;C&amp;K5C6670стр. &amp;P из &amp;N&amp;R&amp;K5C667050 000 ₽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A65D3F"/>
    <outlinePr summaryBelow="1" summaryRight="1"/>
    <pageSetUpPr fitToPage="1"/>
  </sheetPr>
  <dimension ref="A1:D28"/>
  <sheetViews>
    <sheetView showGridLines="0" view="normal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78" customWidth="1" min="3" max="3"/>
    <col width="4" customWidth="1" min="4" max="4"/>
  </cols>
  <sheetData>
    <row r="1" ht="24" customHeight="1">
      <c r="A1" s="1" t="n"/>
      <c r="B1" s="84" t="inlineStr">
        <is>
          <t>УСЛОВИЯ СМЕТЫ</t>
        </is>
      </c>
      <c r="D1" s="1" t="n"/>
    </row>
    <row r="2" ht="5" customHeight="1">
      <c r="A2" s="3" t="n"/>
      <c r="B2" s="3" t="n"/>
      <c r="C2" s="3" t="n"/>
      <c r="D2" s="3" t="n"/>
    </row>
    <row r="3">
      <c r="A3" s="4" t="n"/>
      <c r="B3" s="4" t="n"/>
      <c r="C3" s="4" t="n"/>
      <c r="D3" s="4" t="n"/>
    </row>
    <row r="4" ht="20" customHeight="1">
      <c r="A4" s="4" t="n"/>
      <c r="B4" s="85" t="inlineStr">
        <is>
          <t>Цена</t>
        </is>
      </c>
      <c r="C4" s="86" t="n"/>
      <c r="D4" s="4" t="n"/>
    </row>
    <row r="5" ht="24" customHeight="1">
      <c r="A5" s="4" t="n"/>
      <c r="B5" s="87" t="inlineStr">
        <is>
          <t>1.</t>
        </is>
      </c>
      <c r="C5" s="10" t="inlineStr">
        <is>
          <t>Итог 50 000 ₽ — стоимость трёх работ по залу.</t>
        </is>
      </c>
      <c r="D5" s="4" t="n"/>
    </row>
    <row r="6" ht="24" customHeight="1">
      <c r="A6" s="4" t="n"/>
      <c r="B6" s="88" t="inlineStr">
        <is>
          <t>2.</t>
        </is>
      </c>
      <c r="C6" s="13" t="inlineStr">
        <is>
          <t>Материалы, доставка и подъём в эту сумму не входят.</t>
        </is>
      </c>
      <c r="D6" s="4" t="n"/>
    </row>
    <row r="7" ht="24" customHeight="1">
      <c r="A7" s="4" t="n"/>
      <c r="B7" s="87" t="inlineStr">
        <is>
          <t>3.</t>
        </is>
      </c>
      <c r="C7" s="10" t="inlineStr">
        <is>
          <t>НДС не выделен.</t>
        </is>
      </c>
      <c r="D7" s="4" t="n"/>
    </row>
    <row r="8">
      <c r="A8" s="4" t="n"/>
      <c r="B8" s="4" t="n"/>
      <c r="C8" s="4" t="n"/>
      <c r="D8" s="4" t="n"/>
    </row>
    <row r="9" ht="20" customHeight="1">
      <c r="A9" s="4" t="n"/>
      <c r="B9" s="85" t="inlineStr">
        <is>
          <t>Объёмы</t>
        </is>
      </c>
      <c r="C9" s="86" t="n"/>
      <c r="D9" s="4" t="n"/>
    </row>
    <row r="10" ht="24" customHeight="1">
      <c r="A10" s="4" t="n"/>
      <c r="B10" s="88" t="inlineStr">
        <is>
          <t>4.</t>
        </is>
      </c>
      <c r="C10" s="13" t="inlineStr">
        <is>
          <t>Грунтовка стен зала — 50 м².</t>
        </is>
      </c>
      <c r="D10" s="4" t="n"/>
    </row>
    <row r="11" ht="24" customHeight="1">
      <c r="A11" s="4" t="n"/>
      <c r="B11" s="87" t="inlineStr">
        <is>
          <t>5.</t>
        </is>
      </c>
      <c r="C11" s="10" t="inlineStr">
        <is>
          <t>Поклейка обоев — 50 м².</t>
        </is>
      </c>
      <c r="D11" s="4" t="n"/>
    </row>
    <row r="12" ht="24" customHeight="1">
      <c r="A12" s="4" t="n"/>
      <c r="B12" s="88" t="inlineStr">
        <is>
          <t>6.</t>
        </is>
      </c>
      <c r="C12" s="13" t="inlineStr">
        <is>
          <t>Покраска — 40 м² (потолок и поверхности без обоев, два слоя).</t>
        </is>
      </c>
      <c r="D12" s="4" t="n"/>
    </row>
    <row r="13">
      <c r="A13" s="4" t="n"/>
      <c r="B13" s="4" t="n"/>
      <c r="C13" s="4" t="n"/>
      <c r="D13" s="4" t="n"/>
    </row>
    <row r="14" ht="20" customHeight="1">
      <c r="A14" s="4" t="n"/>
      <c r="B14" s="85" t="inlineStr">
        <is>
          <t>Границы работ</t>
        </is>
      </c>
      <c r="C14" s="86" t="n"/>
      <c r="D14" s="4" t="n"/>
    </row>
    <row r="15" ht="24" customHeight="1">
      <c r="A15" s="4" t="n"/>
      <c r="B15" s="87" t="inlineStr">
        <is>
          <t>7.</t>
        </is>
      </c>
      <c r="C15" s="10" t="inlineStr">
        <is>
          <t>Шпаклёвка и шлифовка стен в эту смету не входят.</t>
        </is>
      </c>
      <c r="D15" s="4" t="n"/>
    </row>
    <row r="16" ht="24" customHeight="1">
      <c r="A16" s="4" t="n"/>
      <c r="B16" s="88" t="inlineStr">
        <is>
          <t>8.</t>
        </is>
      </c>
      <c r="C16" s="13" t="inlineStr">
        <is>
          <t>Демонтаж старых обоев не входит.</t>
        </is>
      </c>
      <c r="D16" s="4" t="n"/>
    </row>
    <row r="17" ht="24" customHeight="1">
      <c r="A17" s="4" t="n"/>
      <c r="B17" s="87" t="inlineStr">
        <is>
          <t>9.</t>
        </is>
      </c>
      <c r="C17" s="10" t="inlineStr">
        <is>
          <t>Вынос и занос мебели не входит.</t>
        </is>
      </c>
      <c r="D17" s="4" t="n"/>
    </row>
    <row r="18" ht="24" customHeight="1">
      <c r="A18" s="4" t="n"/>
      <c r="B18" s="88" t="inlineStr">
        <is>
          <t>10.</t>
        </is>
      </c>
      <c r="C18" s="13" t="inlineStr">
        <is>
          <t>Материалы закупает заказчик.</t>
        </is>
      </c>
      <c r="D18" s="4" t="n"/>
    </row>
    <row r="19">
      <c r="A19" s="4" t="n"/>
      <c r="B19" s="4" t="n"/>
      <c r="C19" s="4" t="n"/>
      <c r="D19" s="4" t="n"/>
    </row>
    <row r="20" ht="20" customHeight="1">
      <c r="A20" s="4" t="n"/>
      <c r="B20" s="85" t="inlineStr">
        <is>
          <t>Порядок</t>
        </is>
      </c>
      <c r="C20" s="86" t="n"/>
      <c r="D20" s="4" t="n"/>
    </row>
    <row r="21" ht="24" customHeight="1">
      <c r="A21" s="4" t="n"/>
      <c r="B21" s="87" t="inlineStr">
        <is>
          <t>11.</t>
        </is>
      </c>
      <c r="C21" s="10" t="inlineStr">
        <is>
          <t>Срок действия расценок — 30 дней с даты сметы.</t>
        </is>
      </c>
      <c r="D21" s="4" t="n"/>
    </row>
    <row r="22" ht="24" customHeight="1">
      <c r="A22" s="4" t="n"/>
      <c r="B22" s="88" t="inlineStr">
        <is>
          <t>12.</t>
        </is>
      </c>
      <c r="C22" s="13" t="inlineStr">
        <is>
          <t>Оплата и график — в договоре, не в этой смете.</t>
        </is>
      </c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</sheetData>
  <mergeCells count="5">
    <mergeCell ref="B20:C20"/>
    <mergeCell ref="B14:C14"/>
    <mergeCell ref="B9:C9"/>
    <mergeCell ref="B1:C1"/>
    <mergeCell ref="B4:C4"/>
  </mergeCells>
  <printOptions horizontalCentered="1"/>
  <pageMargins left="0.45" right="0.45" top="0.65" bottom="0.55" header="0.25" footer="0.25"/>
  <pageSetup orientation="portrait" paperSize="9" fitToHeight="1" fitToWidth="1"/>
  <headerFooter>
    <oddHeader>&amp;L&amp;K1B365DЛС-СИМ-02  ·  Симагино  ·  Зал&amp;R&amp;K5C6670только работы</oddHeader>
    <oddFooter>&amp;L&amp;K5C6670Условия&amp;C&amp;K5C6670стр. &amp;P из &amp;N&amp;R&amp;K5C667050 000 ₽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E6D3A3"/>
    <outlinePr summaryBelow="1" summaryRight="1"/>
    <pageSetUpPr fitToPage="1"/>
  </sheetPr>
  <dimension ref="A1:C16"/>
  <sheetViews>
    <sheetView showGridLines="0" view="normal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8" customWidth="1" min="3" max="3"/>
  </cols>
  <sheetData>
    <row r="1" ht="24" customHeight="1">
      <c r="A1" s="39" t="inlineStr">
        <is>
          <t>МАТЕРИАЛЫ ЗАКАЗЧИКА   ·   В 50 000 ₽ НЕ ВХОДЯТ</t>
        </is>
      </c>
    </row>
    <row r="2" ht="5" customHeight="1">
      <c r="A2" s="3" t="n"/>
      <c r="B2" s="3" t="n"/>
      <c r="C2" s="3" t="n"/>
    </row>
    <row r="3">
      <c r="A3" s="7" t="inlineStr">
        <is>
          <t>Список для закупки. Цен материалов в смете нет.</t>
        </is>
      </c>
    </row>
    <row r="4">
      <c r="A4" s="4" t="n"/>
      <c r="B4" s="4" t="n"/>
      <c r="C4" s="4" t="n"/>
    </row>
    <row r="5">
      <c r="A5" s="40" t="inlineStr">
        <is>
          <t>№</t>
        </is>
      </c>
      <c r="B5" s="40" t="inlineStr">
        <is>
          <t>Группа</t>
        </is>
      </c>
      <c r="C5" s="40" t="inlineStr">
        <is>
          <t>Что подготовить</t>
        </is>
      </c>
    </row>
    <row r="6" ht="22" customHeight="1">
      <c r="A6" s="79" t="n">
        <v>1</v>
      </c>
      <c r="B6" s="80" t="inlineStr">
        <is>
          <t>Грунт</t>
        </is>
      </c>
      <c r="C6" s="10" t="inlineStr">
        <is>
          <t>Грунтовка под обои и под краску</t>
        </is>
      </c>
    </row>
    <row r="7" ht="22" customHeight="1">
      <c r="A7" s="81" t="n">
        <v>2</v>
      </c>
      <c r="B7" s="83" t="inlineStr">
        <is>
          <t>Обои</t>
        </is>
      </c>
      <c r="C7" s="82" t="inlineStr">
        <is>
          <t>Обои на площадь стен зала + запас 10–15%</t>
        </is>
      </c>
    </row>
    <row r="8" ht="22" customHeight="1">
      <c r="A8" s="79" t="n">
        <v>3</v>
      </c>
      <c r="B8" s="80" t="inlineStr">
        <is>
          <t>Клей</t>
        </is>
      </c>
      <c r="C8" s="10" t="inlineStr">
        <is>
          <t>Клей под выбранный тип обоев</t>
        </is>
      </c>
    </row>
    <row r="9" ht="22" customHeight="1">
      <c r="A9" s="81" t="n">
        <v>4</v>
      </c>
      <c r="B9" s="83" t="inlineStr">
        <is>
          <t>Краска</t>
        </is>
      </c>
      <c r="C9" s="82" t="inlineStr">
        <is>
          <t>Краска для потолка и поверхностей без обоев</t>
        </is>
      </c>
    </row>
    <row r="10" ht="22" customHeight="1">
      <c r="A10" s="79" t="n">
        <v>5</v>
      </c>
      <c r="B10" s="80" t="inlineStr">
        <is>
          <t>Расходники</t>
        </is>
      </c>
      <c r="C10" s="10" t="inlineStr">
        <is>
          <t>Валики, кисти, малярная лента, плёнка</t>
        </is>
      </c>
    </row>
    <row r="11">
      <c r="A11" s="4" t="n"/>
      <c r="B11" s="4" t="n"/>
      <c r="C11" s="4" t="n"/>
    </row>
    <row r="12">
      <c r="A12" s="4" t="n"/>
      <c r="B12" s="4" t="n"/>
      <c r="C12" s="4" t="n"/>
    </row>
    <row r="13">
      <c r="A13" s="4" t="n"/>
      <c r="B13" s="4" t="n"/>
      <c r="C13" s="4" t="n"/>
    </row>
    <row r="14">
      <c r="A14" s="4" t="n"/>
      <c r="B14" s="4" t="n"/>
      <c r="C14" s="4" t="n"/>
    </row>
    <row r="15">
      <c r="A15" s="4" t="n"/>
      <c r="B15" s="4" t="n"/>
      <c r="C15" s="4" t="n"/>
    </row>
    <row r="16">
      <c r="A16" s="4" t="n"/>
      <c r="B16" s="4" t="n"/>
      <c r="C16" s="4" t="n"/>
    </row>
  </sheetData>
  <mergeCells count="2">
    <mergeCell ref="A1:C1"/>
    <mergeCell ref="A3:C3"/>
  </mergeCells>
  <printOptions horizontalCentered="1"/>
  <pageMargins left="0.45" right="0.45" top="0.65" bottom="0.55" header="0.25" footer="0.25"/>
  <pageSetup orientation="portrait" paperSize="9" fitToHeight="1" fitToWidth="1"/>
  <headerFooter>
    <oddHeader>&amp;L&amp;K1B365DЛС-СИМ-02  ·  Симагино  ·  Зал&amp;R&amp;K5C6670только работы</oddHeader>
    <oddFooter>&amp;L&amp;K5C6670Материалы заказчика&amp;C&amp;K5C6670стр. &amp;P из &amp;N&amp;R&amp;K5C667050 000 ₽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Локальная смета</dc:creator>
  <dc:title>Смета работ · Симагино · Зал</dc:title>
  <dc:description>Объект Симагино, зал: грунтовка стен, поклейка обоев, покраска. Только работы.</dc:description>
  <dc:subject>Только работы, 50 000 руб.</dc:subject>
  <dcterms:created xsi:type="dcterms:W3CDTF">2026-10-05T17:11:15Z</dcterms:created>
  <dcterms:modified xsi:type="dcterms:W3CDTF">2026-10-05T17:11:15Z</dcterms:modified>
</cp:coreProperties>
</file>