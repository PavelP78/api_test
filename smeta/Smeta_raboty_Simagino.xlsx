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итул" sheetId="1" state="visible" r:id="rId1"/>
    <sheet name="Сводка" sheetId="2" state="visible" r:id="rId2"/>
    <sheet name="Смета" sheetId="3" state="visible" r:id="rId3"/>
    <sheet name="Объёмы" sheetId="4" state="visible" r:id="rId4"/>
    <sheet name="Условия" sheetId="5" state="visible" r:id="rId5"/>
    <sheet name="Материалы заказчика" sheetId="6" state="visible" r:id="rId6"/>
  </sheets>
  <definedNames>
    <definedName name="_xlnm.Print_Area" localSheetId="0">'Титул'!$A$1:$H$43</definedName>
    <definedName name="_xlnm.Print_Area" localSheetId="1">'Сводка'!$A$1:$J$20</definedName>
    <definedName name="_xlnm.Print_Titles" localSheetId="2">'Смета'!$1:$5</definedName>
    <definedName name="_xlnm.Print_Area" localSheetId="2">'Смета'!$A$1:$G$35</definedName>
    <definedName name="_xlnm.Print_Area" localSheetId="3">'Объёмы'!$A$1:$E$17</definedName>
    <definedName name="_xlnm.Print_Area" localSheetId="4">'Условия'!$A$1:$D$30</definedName>
    <definedName name="_xlnm.Print_Area" localSheetId="5">'Материалы заказчика'!$A$1:$C$18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#,##0&quot; ₽&quot;"/>
    <numFmt numFmtId="165" formatCode="0.0%"/>
  </numFmts>
  <fonts count="31">
    <font>
      <name val="Calibri"/>
      <family val="2"/>
      <color theme="1"/>
      <sz val="11"/>
      <scheme val="minor"/>
    </font>
    <font>
      <name val="Calibri"/>
      <b val="1"/>
      <color rgb="00C4A35A"/>
      <sz val="12"/>
    </font>
    <font>
      <name val="Calibri"/>
      <i val="1"/>
      <color rgb="005C6670"/>
      <sz val="10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i val="1"/>
      <color rgb="003D5A80"/>
      <sz val="9"/>
    </font>
    <font>
      <name val="Calibri"/>
      <color rgb="001F2933"/>
      <sz val="11"/>
    </font>
    <font>
      <name val="Calibri"/>
      <b val="1"/>
      <color rgb="001F2933"/>
      <sz val="11"/>
    </font>
    <font>
      <name val="Calibri"/>
      <b val="1"/>
      <color rgb="001B365D"/>
      <sz val="10"/>
    </font>
    <font>
      <name val="Calibri"/>
      <b val="1"/>
      <color rgb="001B365D"/>
      <sz val="12"/>
    </font>
    <font>
      <name val="Calibri"/>
      <b val="1"/>
      <color rgb="00FFFFFF"/>
      <sz val="14"/>
    </font>
    <font>
      <name val="Calibri"/>
      <b val="1"/>
      <color rgb="00C4A35A"/>
      <sz val="16"/>
    </font>
    <font>
      <name val="Calibri"/>
      <i val="1"/>
      <color rgb="00E6D3A3"/>
      <sz val="10"/>
    </font>
    <font>
      <name val="Calibri"/>
      <i val="1"/>
      <color rgb="003D5A80"/>
      <sz val="11"/>
    </font>
    <font>
      <name val="Calibri"/>
      <color rgb="005C6670"/>
      <sz val="9"/>
    </font>
    <font>
      <name val="Calibri"/>
      <b val="1"/>
      <color rgb="00C4A35A"/>
      <sz val="14"/>
    </font>
    <font>
      <name val="Calibri"/>
      <b val="1"/>
      <color rgb="00E6D3A3"/>
      <sz val="12"/>
    </font>
    <font>
      <name val="Calibri"/>
      <color rgb="001F2933"/>
      <sz val="10"/>
    </font>
    <font>
      <name val="Calibri"/>
      <b val="1"/>
      <color rgb="001B365D"/>
      <sz val="28"/>
    </font>
    <font>
      <name val="Calibri"/>
      <color rgb="003D5A80"/>
      <sz val="12"/>
    </font>
    <font>
      <name val="Calibri"/>
      <b val="1"/>
      <color rgb="00C4A35A"/>
      <sz val="10"/>
    </font>
    <font>
      <name val="Calibri"/>
      <b val="1"/>
      <color rgb="00FFFFFF"/>
      <sz val="26"/>
    </font>
    <font>
      <name val="Calibri"/>
      <color rgb="00E6D3A3"/>
      <sz val="9"/>
    </font>
    <font>
      <name val="Calibri"/>
      <color rgb="001F2933"/>
      <sz val="8"/>
    </font>
    <font>
      <name val="Calibri"/>
      <color rgb="001B365D"/>
      <sz val="10"/>
    </font>
    <font>
      <name val="Calibri"/>
      <i val="1"/>
      <color rgb="005C6670"/>
      <sz val="8"/>
    </font>
    <font>
      <name val="Calibri"/>
      <color rgb="003D5A80"/>
      <sz val="10"/>
    </font>
    <font>
      <name val="Calibri"/>
      <b val="1"/>
      <color rgb="001F2933"/>
      <sz val="10"/>
    </font>
    <font>
      <name val="Calibri"/>
      <b val="1"/>
      <color rgb="00FFFFFF"/>
      <sz val="11"/>
    </font>
    <font>
      <name val="Calibri"/>
      <b val="1"/>
      <color rgb="00C4A35A"/>
      <sz val="13"/>
    </font>
    <font>
      <name val="Calibri"/>
      <i val="1"/>
      <color rgb="005C6670"/>
      <sz val="9"/>
    </font>
  </fonts>
  <fills count="16">
    <fill>
      <patternFill/>
    </fill>
    <fill>
      <patternFill patternType="gray125"/>
    </fill>
    <fill>
      <patternFill patternType="solid">
        <fgColor rgb="00FBF8F2"/>
      </patternFill>
    </fill>
    <fill>
      <patternFill patternType="solid">
        <fgColor rgb="0012243F"/>
      </patternFill>
    </fill>
    <fill>
      <patternFill patternType="solid">
        <fgColor rgb="00C4A35A"/>
      </patternFill>
    </fill>
    <fill>
      <patternFill patternType="solid">
        <fgColor rgb="001B365D"/>
      </patternFill>
    </fill>
    <fill>
      <patternFill patternType="solid">
        <fgColor rgb="003D5A80"/>
      </patternFill>
    </fill>
    <fill>
      <patternFill patternType="solid">
        <fgColor rgb="00F3EBDD"/>
      </patternFill>
    </fill>
    <fill>
      <patternFill patternType="solid">
        <fgColor rgb="00FFFFFF"/>
      </patternFill>
    </fill>
    <fill>
      <patternFill patternType="solid">
        <fgColor rgb="00F7F3EA"/>
      </patternFill>
    </fill>
    <fill>
      <patternFill patternType="solid">
        <fgColor rgb="00E7EEF6"/>
      </patternFill>
    </fill>
    <fill>
      <patternFill patternType="solid">
        <fgColor rgb="00EEF3F8"/>
      </patternFill>
    </fill>
    <fill>
      <patternFill patternType="solid">
        <fgColor rgb="002F6B4F"/>
      </patternFill>
    </fill>
    <fill>
      <patternFill patternType="solid">
        <fgColor rgb="00A65D3F"/>
      </patternFill>
    </fill>
    <fill>
      <patternFill patternType="solid">
        <fgColor rgb="00F3F7F4"/>
      </patternFill>
    </fill>
    <fill>
      <patternFill patternType="solid">
        <fgColor rgb="00F8F1EC"/>
      </patternFill>
    </fill>
  </fills>
  <borders count="6">
    <border>
      <left/>
      <right/>
      <top/>
      <bottom/>
      <diagonal/>
    </border>
    <border>
      <left style="thin">
        <color rgb="001B365D"/>
      </left>
      <right style="thin">
        <color rgb="001B365D"/>
      </right>
      <top style="thin">
        <color rgb="001B365D"/>
      </top>
      <bottom style="thin">
        <color rgb="001B365D"/>
      </bottom>
    </border>
    <border>
      <left style="thin">
        <color rgb="003D5A80"/>
      </left>
      <right style="thin">
        <color rgb="003D5A80"/>
      </right>
      <top style="thin">
        <color rgb="003D5A80"/>
      </top>
      <bottom style="thin">
        <color rgb="003D5A80"/>
      </bottom>
    </border>
    <border>
      <left style="thin">
        <color rgb="00E8E0D4"/>
      </left>
      <right style="thin">
        <color rgb="00E8E0D4"/>
      </right>
      <top style="thin">
        <color rgb="00E8E0D4"/>
      </top>
      <bottom style="thin">
        <color rgb="00E8E0D4"/>
      </bottom>
    </border>
    <border>
      <left style="thin">
        <color rgb="00D7CDBD"/>
      </left>
      <right style="thin">
        <color rgb="00D7CDBD"/>
      </right>
      <top style="thin">
        <color rgb="00D7CDBD"/>
      </top>
      <bottom style="thin">
        <color rgb="00D7CDBD"/>
      </bottom>
    </border>
    <border>
      <left style="thin">
        <color rgb="0012243F"/>
      </left>
      <right style="thin">
        <color rgb="0012243F"/>
      </right>
      <top style="thin">
        <color rgb="0012243F"/>
      </top>
      <bottom style="thin">
        <color rgb="0012243F"/>
      </bottom>
    </border>
  </borders>
  <cellStyleXfs count="1">
    <xf numFmtId="0" fontId="0" fillId="0" borderId="0"/>
  </cellStyleXfs>
  <cellXfs count="90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0" fillId="2" borderId="0" pivotButton="0" quotePrefix="0" xfId="0"/>
    <xf numFmtId="0" fontId="18" fillId="2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8" fillId="8" borderId="3" applyAlignment="1" pivotButton="0" quotePrefix="0" xfId="0">
      <alignment horizontal="left" vertical="center" wrapText="1"/>
    </xf>
    <xf numFmtId="0" fontId="0" fillId="8" borderId="3" pivotButton="0" quotePrefix="0" xfId="0"/>
    <xf numFmtId="0" fontId="17" fillId="8" borderId="3" applyAlignment="1" pivotButton="0" quotePrefix="0" xfId="0">
      <alignment horizontal="left" vertical="center" wrapText="1"/>
    </xf>
    <xf numFmtId="0" fontId="8" fillId="7" borderId="3" applyAlignment="1" pivotButton="0" quotePrefix="0" xfId="0">
      <alignment horizontal="left" vertical="center" wrapText="1"/>
    </xf>
    <xf numFmtId="0" fontId="0" fillId="7" borderId="3" pivotButton="0" quotePrefix="0" xfId="0"/>
    <xf numFmtId="0" fontId="17" fillId="7" borderId="3" applyAlignment="1" pivotButton="0" quotePrefix="0" xfId="0">
      <alignment horizontal="left" vertical="center" wrapText="1"/>
    </xf>
    <xf numFmtId="0" fontId="20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21" fillId="5" borderId="0" applyAlignment="1" pivotButton="0" quotePrefix="0" xfId="0">
      <alignment horizontal="center" vertical="center" wrapText="1"/>
    </xf>
    <xf numFmtId="0" fontId="22" fillId="5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9" fillId="2" borderId="0" pivotButton="0" quotePrefix="0" xfId="0"/>
    <xf numFmtId="164" fontId="9" fillId="8" borderId="3" applyAlignment="1" pivotButton="0" quotePrefix="0" xfId="0">
      <alignment horizontal="right" vertical="center" wrapText="1"/>
    </xf>
    <xf numFmtId="0" fontId="17" fillId="11" borderId="3" applyAlignment="1" pivotButton="0" quotePrefix="0" xfId="0">
      <alignment horizontal="left" vertical="center" wrapText="1"/>
    </xf>
    <xf numFmtId="0" fontId="0" fillId="11" borderId="3" pivotButton="0" quotePrefix="0" xfId="0"/>
    <xf numFmtId="164" fontId="9" fillId="11" borderId="3" applyAlignment="1" pivotButton="0" quotePrefix="0" xfId="0">
      <alignment horizontal="right" vertical="center" wrapText="1"/>
    </xf>
    <xf numFmtId="0" fontId="3" fillId="12" borderId="0" applyAlignment="1" pivotButton="0" quotePrefix="0" xfId="0">
      <alignment horizontal="center" vertical="center" wrapText="1"/>
    </xf>
    <xf numFmtId="0" fontId="0" fillId="12" borderId="0" pivotButton="0" quotePrefix="0" xfId="0"/>
    <xf numFmtId="0" fontId="3" fillId="13" borderId="0" applyAlignment="1" pivotButton="0" quotePrefix="0" xfId="0">
      <alignment horizontal="center" vertical="center" wrapText="1"/>
    </xf>
    <xf numFmtId="0" fontId="0" fillId="13" borderId="0" pivotButton="0" quotePrefix="0" xfId="0"/>
    <xf numFmtId="0" fontId="23" fillId="8" borderId="0" applyAlignment="1" pivotButton="0" quotePrefix="0" xfId="0">
      <alignment horizontal="left" vertical="center" wrapText="1"/>
    </xf>
    <xf numFmtId="0" fontId="0" fillId="8" borderId="0" pivotButton="0" quotePrefix="0" xfId="0"/>
    <xf numFmtId="0" fontId="23" fillId="14" borderId="0" applyAlignment="1" pivotButton="0" quotePrefix="0" xfId="0">
      <alignment horizontal="left" vertical="center" wrapText="1"/>
    </xf>
    <xf numFmtId="0" fontId="0" fillId="14" borderId="0" pivotButton="0" quotePrefix="0" xfId="0"/>
    <xf numFmtId="0" fontId="23" fillId="15" borderId="0" applyAlignment="1" pivotButton="0" quotePrefix="0" xfId="0">
      <alignment horizontal="left" vertical="center" wrapText="1"/>
    </xf>
    <xf numFmtId="0" fontId="0" fillId="15" borderId="0" pivotButton="0" quotePrefix="0" xfId="0"/>
    <xf numFmtId="0" fontId="8" fillId="2" borderId="0" pivotButton="0" quotePrefix="0" xfId="0"/>
    <xf numFmtId="0" fontId="24" fillId="2" borderId="0" pivotButton="0" quotePrefix="0" xfId="0"/>
    <xf numFmtId="0" fontId="25" fillId="2" borderId="0" pivotButton="0" quotePrefix="0" xfId="0"/>
    <xf numFmtId="0" fontId="25" fillId="2" borderId="0" applyAlignment="1" pivotButton="0" quotePrefix="0" xfId="0">
      <alignment horizontal="left" vertical="center" wrapText="1"/>
    </xf>
    <xf numFmtId="0" fontId="15" fillId="3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left" vertical="center" wrapText="1"/>
    </xf>
    <xf numFmtId="3" fontId="9" fillId="8" borderId="3" applyAlignment="1" pivotButton="0" quotePrefix="0" xfId="0">
      <alignment horizontal="right" vertical="center" wrapText="1"/>
    </xf>
    <xf numFmtId="165" fontId="6" fillId="8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left" vertical="center" wrapText="1"/>
    </xf>
    <xf numFmtId="3" fontId="9" fillId="9" borderId="3" applyAlignment="1" pivotButton="0" quotePrefix="0" xfId="0">
      <alignment horizontal="right" vertical="center" wrapText="1"/>
    </xf>
    <xf numFmtId="165" fontId="6" fillId="9" borderId="3" applyAlignment="1" pivotButton="0" quotePrefix="0" xfId="0">
      <alignment horizontal="center" vertical="center" wrapText="1"/>
    </xf>
    <xf numFmtId="0" fontId="4" fillId="5" borderId="5" applyAlignment="1" pivotButton="0" quotePrefix="0" xfId="0">
      <alignment horizontal="left" vertical="center" wrapText="1"/>
    </xf>
    <xf numFmtId="164" fontId="15" fillId="5" borderId="5" applyAlignment="1" pivotButton="0" quotePrefix="0" xfId="0">
      <alignment horizontal="right" vertical="center" wrapText="1"/>
    </xf>
    <xf numFmtId="0" fontId="16" fillId="5" borderId="5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left" vertical="center" wrapText="1"/>
    </xf>
    <xf numFmtId="0" fontId="17" fillId="8" borderId="0" applyAlignment="1" pivotButton="0" quotePrefix="0" xfId="0">
      <alignment horizontal="left" vertical="center" wrapText="1"/>
    </xf>
    <xf numFmtId="0" fontId="17" fillId="7" borderId="0" applyAlignment="1" pivotButton="0" quotePrefix="0" xfId="0">
      <alignment horizontal="left" vertical="center" wrapText="1"/>
    </xf>
    <xf numFmtId="0" fontId="0" fillId="7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1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0" fillId="6" borderId="2" pivotButton="0" quotePrefix="0" xfId="0"/>
    <xf numFmtId="0" fontId="5" fillId="7" borderId="0" applyAlignment="1" pivotButton="0" quotePrefix="0" xfId="0">
      <alignment horizontal="left" vertical="center" wrapText="1"/>
    </xf>
    <xf numFmtId="0" fontId="6" fillId="8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left" vertical="center" wrapText="1"/>
    </xf>
    <xf numFmtId="1" fontId="6" fillId="8" borderId="3" applyAlignment="1" pivotButton="0" quotePrefix="0" xfId="0">
      <alignment horizontal="center" vertical="center" wrapText="1"/>
    </xf>
    <xf numFmtId="3" fontId="6" fillId="8" borderId="3" applyAlignment="1" pivotButton="0" quotePrefix="0" xfId="0">
      <alignment horizontal="right" vertical="center" wrapText="1"/>
    </xf>
    <xf numFmtId="3" fontId="7" fillId="8" borderId="3" applyAlignment="1" pivotButton="0" quotePrefix="0" xfId="0">
      <alignment horizontal="right" vertical="center" wrapText="1"/>
    </xf>
    <xf numFmtId="0" fontId="6" fillId="9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left" vertical="center" wrapText="1"/>
    </xf>
    <xf numFmtId="1" fontId="6" fillId="9" borderId="3" applyAlignment="1" pivotButton="0" quotePrefix="0" xfId="0">
      <alignment horizontal="center" vertical="center" wrapText="1"/>
    </xf>
    <xf numFmtId="3" fontId="6" fillId="9" borderId="3" applyAlignment="1" pivotButton="0" quotePrefix="0" xfId="0">
      <alignment horizontal="right" vertical="center" wrapText="1"/>
    </xf>
    <xf numFmtId="3" fontId="7" fillId="9" borderId="3" applyAlignment="1" pivotButton="0" quotePrefix="0" xfId="0">
      <alignment horizontal="right" vertical="center" wrapText="1"/>
    </xf>
    <xf numFmtId="0" fontId="8" fillId="10" borderId="4" applyAlignment="1" pivotButton="0" quotePrefix="0" xfId="0">
      <alignment horizontal="right" vertical="center" wrapText="1"/>
    </xf>
    <xf numFmtId="0" fontId="8" fillId="10" borderId="4" pivotButton="0" quotePrefix="0" xfId="0"/>
    <xf numFmtId="3" fontId="9" fillId="10" borderId="4" applyAlignment="1" pivotButton="0" quotePrefix="0" xfId="0">
      <alignment horizontal="right" vertical="center" wrapText="1"/>
    </xf>
    <xf numFmtId="0" fontId="0" fillId="10" borderId="4" pivotButton="0" quotePrefix="0" xfId="0"/>
    <xf numFmtId="0" fontId="10" fillId="5" borderId="5" applyAlignment="1" pivotButton="0" quotePrefix="0" xfId="0">
      <alignment horizontal="right" vertical="center" wrapText="1"/>
    </xf>
    <xf numFmtId="0" fontId="4" fillId="5" borderId="5" pivotButton="0" quotePrefix="0" xfId="0"/>
    <xf numFmtId="164" fontId="11" fillId="5" borderId="5" applyAlignment="1" pivotButton="0" quotePrefix="0" xfId="0">
      <alignment horizontal="right" vertical="center" wrapText="1"/>
    </xf>
    <xf numFmtId="0" fontId="12" fillId="5" borderId="5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right" vertical="center" wrapText="1"/>
    </xf>
    <xf numFmtId="0" fontId="14" fillId="2" borderId="0" applyAlignment="1" pivotButton="0" quotePrefix="0" xfId="0">
      <alignment horizontal="left" vertical="center" wrapText="1"/>
    </xf>
    <xf numFmtId="0" fontId="26" fillId="2" borderId="0" applyAlignment="1" pivotButton="0" quotePrefix="0" xfId="0">
      <alignment horizontal="left" vertical="center" wrapText="1"/>
    </xf>
    <xf numFmtId="0" fontId="17" fillId="8" borderId="3" applyAlignment="1" pivotButton="0" quotePrefix="0" xfId="0">
      <alignment horizontal="center" vertical="center" wrapText="1"/>
    </xf>
    <xf numFmtId="0" fontId="27" fillId="8" borderId="3" applyAlignment="1" pivotButton="0" quotePrefix="0" xfId="0">
      <alignment horizontal="center" vertical="center" wrapText="1"/>
    </xf>
    <xf numFmtId="0" fontId="17" fillId="9" borderId="3" applyAlignment="1" pivotButton="0" quotePrefix="0" xfId="0">
      <alignment horizontal="center" vertical="center" wrapText="1"/>
    </xf>
    <xf numFmtId="0" fontId="17" fillId="9" borderId="3" applyAlignment="1" pivotButton="0" quotePrefix="0" xfId="0">
      <alignment horizontal="left" vertical="center" wrapText="1"/>
    </xf>
    <xf numFmtId="0" fontId="27" fillId="9" borderId="3" applyAlignment="1" pivotButton="0" quotePrefix="0" xfId="0">
      <alignment horizontal="center" vertical="center" wrapText="1"/>
    </xf>
    <xf numFmtId="0" fontId="28" fillId="6" borderId="0" applyAlignment="1" pivotButton="0" quotePrefix="0" xfId="0">
      <alignment horizontal="left" vertical="center" wrapText="1"/>
    </xf>
    <xf numFmtId="0" fontId="0" fillId="6" borderId="0" pivotButton="0" quotePrefix="0" xfId="0"/>
    <xf numFmtId="0" fontId="8" fillId="8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29" fillId="3" borderId="0" applyAlignment="1" pivotButton="0" quotePrefix="0" xfId="0">
      <alignment horizontal="left" vertical="center" wrapText="1"/>
    </xf>
    <xf numFmtId="0" fontId="30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Работы по разделам, ₽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'Сводка'!C4</f>
            </strRef>
          </tx>
          <spPr>
            <a:solidFill>
              <a:srgbClr val="1B365D"/>
            </a:solidFill>
            <a:ln>
              <a:prstDash val="solid"/>
            </a:ln>
          </spPr>
          <cat>
            <numRef>
              <f>'Сводка'!$L$5:$L$8</f>
            </numRef>
          </cat>
          <val>
            <numRef>
              <f>'Сводка'!$C$5:$C$8</f>
            </numRef>
          </val>
        </ser>
        <dLbls>
          <numFmt formatCode="#,##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C4A35A"/>
    <outlinePr summaryBelow="1" summaryRight="1"/>
    <pageSetUpPr fitToPage="1"/>
  </sheetPr>
  <dimension ref="A1:H52"/>
  <sheetViews>
    <sheetView showGridLines="0" view="normal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" customWidth="1" min="8" max="8"/>
  </cols>
  <sheetData>
    <row r="1" ht="12" customHeight="1">
      <c r="A1" s="1" t="n"/>
      <c r="B1" s="1" t="n"/>
      <c r="C1" s="1" t="n"/>
      <c r="D1" s="1" t="n"/>
      <c r="E1" s="1" t="n"/>
      <c r="F1" s="1" t="n"/>
      <c r="G1" s="1" t="n"/>
      <c r="H1" s="1" t="n"/>
    </row>
    <row r="2" ht="22" customHeight="1">
      <c r="A2" s="1" t="n"/>
      <c r="B2" s="2" t="inlineStr">
        <is>
          <t>ЛОКАЛЬНАЯ СМЕТА   ·   ТОЛЬКО РАБОТЫ</t>
        </is>
      </c>
      <c r="H2" s="1" t="n"/>
    </row>
    <row r="3" ht="8" customHeight="1">
      <c r="A3" s="1" t="n"/>
      <c r="B3" s="1" t="n"/>
      <c r="C3" s="1" t="n"/>
      <c r="D3" s="1" t="n"/>
      <c r="E3" s="1" t="n"/>
      <c r="F3" s="1" t="n"/>
      <c r="G3" s="1" t="n"/>
      <c r="H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 ht="36" customHeight="1">
      <c r="A6" s="4" t="n"/>
      <c r="B6" s="5" t="inlineStr">
        <is>
          <t>Объект Симагино</t>
        </is>
      </c>
      <c r="H6" s="4" t="n"/>
    </row>
    <row r="7" ht="20" customHeight="1">
      <c r="A7" s="4" t="n"/>
      <c r="B7" s="6" t="inlineStr">
        <is>
          <t>Электрика, стены 1 этажа, откосы, подоконники, короб над печкой, котельная</t>
        </is>
      </c>
      <c r="H7" s="4" t="n"/>
    </row>
    <row r="8" ht="18" customHeight="1">
      <c r="A8" s="4" t="n"/>
      <c r="B8" s="7" t="inlineStr">
        <is>
          <t>ЛС-СИМ-01 от 05.10.2026   ·   материалы в смету не входят</t>
        </is>
      </c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 ht="20" customHeight="1">
      <c r="A10" s="4" t="n"/>
      <c r="B10" s="8" t="inlineStr">
        <is>
          <t>Объект</t>
        </is>
      </c>
      <c r="C10" s="9" t="n"/>
      <c r="D10" s="10" t="inlineStr">
        <is>
          <t>Симагино</t>
        </is>
      </c>
      <c r="E10" s="9" t="n"/>
      <c r="F10" s="9" t="n"/>
      <c r="G10" s="9" t="n"/>
      <c r="H10" s="4" t="n"/>
    </row>
    <row r="11" ht="20" customHeight="1">
      <c r="A11" s="4" t="n"/>
      <c r="B11" s="11" t="inlineStr">
        <is>
          <t>Состав</t>
        </is>
      </c>
      <c r="C11" s="12" t="n"/>
      <c r="D11" s="13" t="inlineStr">
        <is>
          <t>14 работ из перечня. Только работа, без материалов и оборудования</t>
        </is>
      </c>
      <c r="E11" s="12" t="n"/>
      <c r="F11" s="12" t="n"/>
      <c r="G11" s="12" t="n"/>
      <c r="H11" s="4" t="n"/>
    </row>
    <row r="12" ht="20" customHeight="1">
      <c r="A12" s="4" t="n"/>
      <c r="B12" s="8" t="inlineStr">
        <is>
          <t>Не входит</t>
        </is>
      </c>
      <c r="C12" s="9" t="n"/>
      <c r="D12" s="10" t="inlineStr">
        <is>
          <t>Заделка штраб, покраска, обои, лак подоконников, монтаж и пуск котла</t>
        </is>
      </c>
      <c r="E12" s="9" t="n"/>
      <c r="F12" s="9" t="n"/>
      <c r="G12" s="9" t="n"/>
      <c r="H12" s="4" t="n"/>
    </row>
    <row r="13" ht="20" customHeight="1">
      <c r="A13" s="4" t="n"/>
      <c r="B13" s="11" t="inlineStr">
        <is>
          <t>Не входит</t>
        </is>
      </c>
      <c r="C13" s="12" t="n"/>
      <c r="D13" s="13" t="inlineStr">
        <is>
          <t>Электроподключение бойлера, новый щит, потолки, 2 этаж, вывоз мусора</t>
        </is>
      </c>
      <c r="E13" s="12" t="n"/>
      <c r="F13" s="12" t="n"/>
      <c r="G13" s="12" t="n"/>
      <c r="H13" s="4" t="n"/>
    </row>
    <row r="14" ht="20" customHeight="1">
      <c r="A14" s="4" t="n"/>
      <c r="B14" s="8" t="inlineStr">
        <is>
          <t>Объёмы</t>
        </is>
      </c>
      <c r="C14" s="9" t="n"/>
      <c r="D14" s="10" t="inlineStr">
        <is>
          <t>Договорные, приняты под фиксированный итог. Лист «Объёмы»</t>
        </is>
      </c>
      <c r="E14" s="9" t="n"/>
      <c r="F14" s="9" t="n"/>
      <c r="G14" s="9" t="n"/>
      <c r="H14" s="4" t="n"/>
    </row>
    <row r="15" ht="20" customHeight="1">
      <c r="A15" s="4" t="n"/>
      <c r="B15" s="11" t="inlineStr">
        <is>
          <t>Пересчёт</t>
        </is>
      </c>
      <c r="C15" s="12" t="n"/>
      <c r="D15" s="13" t="inlineStr">
        <is>
          <t>Если количество на объекте иное: новое количество × расценка строки</t>
        </is>
      </c>
      <c r="E15" s="12" t="n"/>
      <c r="F15" s="12" t="n"/>
      <c r="G15" s="12" t="n"/>
      <c r="H15" s="4" t="n"/>
    </row>
    <row r="16" ht="20" customHeight="1">
      <c r="A16" s="4" t="n"/>
      <c r="B16" s="8" t="inlineStr">
        <is>
          <t>Срок сметы</t>
        </is>
      </c>
      <c r="C16" s="9" t="n"/>
      <c r="D16" s="10" t="inlineStr">
        <is>
          <t>30 календарных дней</t>
        </is>
      </c>
      <c r="E16" s="9" t="n"/>
      <c r="F16" s="9" t="n"/>
      <c r="G16" s="9" t="n"/>
      <c r="H16" s="4" t="n"/>
    </row>
    <row r="17" ht="20" customHeight="1">
      <c r="A17" s="4" t="n"/>
      <c r="B17" s="11" t="inlineStr">
        <is>
          <t>НДС</t>
        </is>
      </c>
      <c r="C17" s="12" t="n"/>
      <c r="D17" s="13" t="inlineStr">
        <is>
          <t>Не выделен. При работе с НДС сумма считается отдельно</t>
        </is>
      </c>
      <c r="E17" s="12" t="n"/>
      <c r="F17" s="12" t="n"/>
      <c r="G17" s="12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 ht="18" customHeight="1">
      <c r="A19" s="4" t="n"/>
      <c r="B19" s="14" t="inlineStr">
        <is>
          <t>ИТОГО РАБОТЫ</t>
        </is>
      </c>
      <c r="C19" s="15" t="n"/>
      <c r="D19" s="15" t="n"/>
      <c r="E19" s="15" t="n"/>
      <c r="F19" s="15" t="n"/>
      <c r="G19" s="15" t="n"/>
      <c r="H19" s="4" t="n"/>
    </row>
    <row r="20" ht="32" customHeight="1">
      <c r="A20" s="4" t="n"/>
      <c r="B20" s="16">
        <f>Смета!F33</f>
        <v/>
      </c>
      <c r="C20" s="15" t="n"/>
      <c r="D20" s="15" t="n"/>
      <c r="E20" s="15" t="n"/>
      <c r="F20" s="15" t="n"/>
      <c r="G20" s="15" t="n"/>
      <c r="H20" s="4" t="n"/>
    </row>
    <row r="21" ht="18" customHeight="1">
      <c r="A21" s="4" t="n"/>
      <c r="B21" s="17" t="inlineStr">
        <is>
          <t>без материалов и оборудования</t>
        </is>
      </c>
      <c r="C21" s="15" t="n"/>
      <c r="D21" s="15" t="n"/>
      <c r="E21" s="15" t="n"/>
      <c r="F21" s="15" t="n"/>
      <c r="G21" s="15" t="n"/>
      <c r="H21" s="4" t="n"/>
    </row>
    <row r="22" ht="22" customHeight="1">
      <c r="A22" s="4" t="n"/>
      <c r="B22" s="18" t="inlineStr">
        <is>
          <t>Двести тридцать тысяч рублей 00 копеек</t>
        </is>
      </c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 ht="20" customHeight="1">
      <c r="A24" s="4" t="n"/>
      <c r="B24" s="19" t="inlineStr">
        <is>
          <t>Разделы</t>
        </is>
      </c>
      <c r="H24" s="4" t="n"/>
    </row>
    <row r="25" ht="22" customHeight="1">
      <c r="A25" s="4" t="n"/>
      <c r="B25" s="10" t="inlineStr">
        <is>
          <t>1.  Электромонтажные работы</t>
        </is>
      </c>
      <c r="C25" s="9" t="n"/>
      <c r="D25" s="9" t="n"/>
      <c r="E25" s="9" t="n"/>
      <c r="F25" s="20">
        <f>Смета!F13</f>
        <v/>
      </c>
      <c r="G25" s="9" t="n"/>
      <c r="H25" s="4" t="n"/>
    </row>
    <row r="26" ht="22" customHeight="1">
      <c r="A26" s="4" t="n"/>
      <c r="B26" s="21" t="inlineStr">
        <is>
          <t>2.  Подготовка стен, 1 этаж</t>
        </is>
      </c>
      <c r="C26" s="22" t="n"/>
      <c r="D26" s="22" t="n"/>
      <c r="E26" s="22" t="n"/>
      <c r="F26" s="23">
        <f>Смета!F19</f>
        <v/>
      </c>
      <c r="G26" s="22" t="n"/>
      <c r="H26" s="4" t="n"/>
    </row>
    <row r="27" ht="22" customHeight="1">
      <c r="A27" s="4" t="n"/>
      <c r="B27" s="10" t="inlineStr">
        <is>
          <t>3.  Откосы, подоконники, короб над печкой</t>
        </is>
      </c>
      <c r="C27" s="9" t="n"/>
      <c r="D27" s="9" t="n"/>
      <c r="E27" s="9" t="n"/>
      <c r="F27" s="20">
        <f>Смета!F25</f>
        <v/>
      </c>
      <c r="G27" s="9" t="n"/>
      <c r="H27" s="4" t="n"/>
    </row>
    <row r="28" ht="22" customHeight="1">
      <c r="A28" s="4" t="n"/>
      <c r="B28" s="21" t="inlineStr">
        <is>
          <t>4.  Котельная: трубы, коллекторы, бойлер</t>
        </is>
      </c>
      <c r="C28" s="22" t="n"/>
      <c r="D28" s="22" t="n"/>
      <c r="E28" s="22" t="n"/>
      <c r="F28" s="23">
        <f>Смета!F31</f>
        <v/>
      </c>
      <c r="G28" s="22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 ht="18" customHeight="1">
      <c r="A30" s="4" t="n"/>
      <c r="B30" s="24" t="inlineStr">
        <is>
          <t>ВХОДИТ</t>
        </is>
      </c>
      <c r="C30" s="25" t="n"/>
      <c r="D30" s="25" t="n"/>
      <c r="E30" s="26" t="inlineStr">
        <is>
          <t>НЕ ВХОДИТ</t>
        </is>
      </c>
      <c r="F30" s="27" t="n"/>
      <c r="G30" s="27" t="n"/>
      <c r="H30" s="4" t="n"/>
    </row>
    <row r="31" ht="28" customHeight="1">
      <c r="A31" s="4" t="n"/>
      <c r="B31" s="28" t="inlineStr">
        <is>
          <t>1.  Вмазка коробок, штробление и прокладка проводов</t>
        </is>
      </c>
      <c r="C31" s="29" t="n"/>
      <c r="D31" s="29" t="n"/>
      <c r="E31" s="28" t="inlineStr">
        <is>
          <t>1.  Материалы, кабель, трубы, шпаклёвка, грунт, подоконники</t>
        </is>
      </c>
      <c r="F31" s="29" t="n"/>
      <c r="G31" s="29" t="n"/>
      <c r="H31" s="4" t="n"/>
    </row>
    <row r="32" ht="28" customHeight="1">
      <c r="A32" s="4" t="n"/>
      <c r="B32" s="30" t="inlineStr">
        <is>
          <t>2.  Демонтаж 2-го щита, прозвонка и распайка коробок</t>
        </is>
      </c>
      <c r="C32" s="31" t="n"/>
      <c r="D32" s="31" t="n"/>
      <c r="E32" s="32" t="inlineStr">
        <is>
          <t>2.  Заделка штраб штукатуркой</t>
        </is>
      </c>
      <c r="F32" s="33" t="n"/>
      <c r="G32" s="33" t="n"/>
      <c r="H32" s="4" t="n"/>
    </row>
    <row r="33" ht="28" customHeight="1">
      <c r="A33" s="4" t="n"/>
      <c r="B33" s="28" t="inlineStr">
        <is>
          <t>3.  Грунтовка, шпаклёвка в 2 слоя и вышкуривание стен 1 этажа</t>
        </is>
      </c>
      <c r="C33" s="29" t="n"/>
      <c r="D33" s="29" t="n"/>
      <c r="E33" s="28" t="inlineStr">
        <is>
          <t>3.  Покраска, обои, масло и лак подоконников</t>
        </is>
      </c>
      <c r="F33" s="29" t="n"/>
      <c r="G33" s="29" t="n"/>
      <c r="H33" s="4" t="n"/>
    </row>
    <row r="34" ht="28" customHeight="1">
      <c r="A34" s="4" t="n"/>
      <c r="B34" s="30" t="inlineStr">
        <is>
          <t>4.  Откосы дверного блока и монтаж дубовых подоконников</t>
        </is>
      </c>
      <c r="C34" s="31" t="n"/>
      <c r="D34" s="31" t="n"/>
      <c r="E34" s="32" t="inlineStr">
        <is>
          <t>4.  Монтаж, обвязка и пуск котла</t>
        </is>
      </c>
      <c r="F34" s="33" t="n"/>
      <c r="G34" s="33" t="n"/>
      <c r="H34" s="4" t="n"/>
    </row>
    <row r="35" ht="28" customHeight="1">
      <c r="A35" s="4" t="n"/>
      <c r="B35" s="28" t="inlineStr">
        <is>
          <t>5.  Короб над печкой</t>
        </is>
      </c>
      <c r="C35" s="29" t="n"/>
      <c r="D35" s="29" t="n"/>
      <c r="E35" s="28" t="inlineStr">
        <is>
          <t>5.  Электроподключение бойлера и сборка нового щита</t>
        </is>
      </c>
      <c r="F35" s="29" t="n"/>
      <c r="G35" s="29" t="n"/>
      <c r="H35" s="4" t="n"/>
    </row>
    <row r="36" ht="28" customHeight="1">
      <c r="A36" s="4" t="n"/>
      <c r="B36" s="30" t="inlineStr">
        <is>
          <t>6.  Трубы до котла, коллекторы с фильтром, обвязка бойлера</t>
        </is>
      </c>
      <c r="C36" s="31" t="n"/>
      <c r="D36" s="31" t="n"/>
      <c r="E36" s="32" t="inlineStr">
        <is>
          <t>6.  Потолки, второй этаж и вывоз мусора</t>
        </is>
      </c>
      <c r="F36" s="33" t="n"/>
      <c r="G36" s="33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 ht="18" customHeight="1">
      <c r="A38" s="4" t="n"/>
      <c r="B38" s="34" t="inlineStr">
        <is>
          <t>Заказчик</t>
        </is>
      </c>
      <c r="D38" s="4" t="n"/>
      <c r="E38" s="34" t="inlineStr">
        <is>
          <t>Исполнитель</t>
        </is>
      </c>
      <c r="H38" s="4" t="n"/>
    </row>
    <row r="39">
      <c r="A39" s="4" t="n"/>
      <c r="B39" s="35" t="inlineStr">
        <is>
          <t>______________________________</t>
        </is>
      </c>
      <c r="D39" s="4" t="n"/>
      <c r="E39" s="35" t="inlineStr">
        <is>
          <t>______________________________</t>
        </is>
      </c>
      <c r="H39" s="4" t="n"/>
    </row>
    <row r="40">
      <c r="A40" s="4" t="n"/>
      <c r="B40" s="36" t="inlineStr">
        <is>
          <t>подпись, расшифровка</t>
        </is>
      </c>
      <c r="D40" s="4" t="n"/>
      <c r="E40" s="36" t="inlineStr">
        <is>
          <t>подпись, расшифровка</t>
        </is>
      </c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 ht="28" customHeight="1">
      <c r="A42" s="4" t="n"/>
      <c r="B42" s="37" t="inlineStr">
        <is>
          <t>Смета составлена по перечню работ на объект Симагино и фиксирует стоимость работ 230 000 ₽. Замер помещений в документ не входил: объёмы на листе «Объёмы» договорные.</t>
        </is>
      </c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</sheetData>
  <mergeCells count="54">
    <mergeCell ref="B2:G2"/>
    <mergeCell ref="B16:C16"/>
    <mergeCell ref="B42:G42"/>
    <mergeCell ref="D12:G12"/>
    <mergeCell ref="F25:G25"/>
    <mergeCell ref="E31:G31"/>
    <mergeCell ref="B8:G8"/>
    <mergeCell ref="E34:G34"/>
    <mergeCell ref="E40:G40"/>
    <mergeCell ref="D15:G15"/>
    <mergeCell ref="E30:G30"/>
    <mergeCell ref="D14:G14"/>
    <mergeCell ref="B34:D34"/>
    <mergeCell ref="B12:C12"/>
    <mergeCell ref="B39:C39"/>
    <mergeCell ref="B19:G19"/>
    <mergeCell ref="B26:E26"/>
    <mergeCell ref="E36:G36"/>
    <mergeCell ref="B11:C11"/>
    <mergeCell ref="B14:C14"/>
    <mergeCell ref="B25:E25"/>
    <mergeCell ref="B30:D30"/>
    <mergeCell ref="B17:C17"/>
    <mergeCell ref="D10:G10"/>
    <mergeCell ref="F26:G26"/>
    <mergeCell ref="B6:G6"/>
    <mergeCell ref="B13:C13"/>
    <mergeCell ref="B24:G24"/>
    <mergeCell ref="B20:G20"/>
    <mergeCell ref="B27:E27"/>
    <mergeCell ref="E32:G32"/>
    <mergeCell ref="B33:D33"/>
    <mergeCell ref="B36:D36"/>
    <mergeCell ref="B38:C38"/>
    <mergeCell ref="B32:D32"/>
    <mergeCell ref="B10:C10"/>
    <mergeCell ref="B35:D35"/>
    <mergeCell ref="F28:G28"/>
    <mergeCell ref="D11:G11"/>
    <mergeCell ref="D13:G13"/>
    <mergeCell ref="B40:C40"/>
    <mergeCell ref="F27:G27"/>
    <mergeCell ref="B7:G7"/>
    <mergeCell ref="D17:G17"/>
    <mergeCell ref="B15:C15"/>
    <mergeCell ref="E33:G33"/>
    <mergeCell ref="B22:G22"/>
    <mergeCell ref="B31:D31"/>
    <mergeCell ref="E39:G39"/>
    <mergeCell ref="D16:G16"/>
    <mergeCell ref="E35:G35"/>
    <mergeCell ref="B21:G21"/>
    <mergeCell ref="B28:E28"/>
    <mergeCell ref="E38:G38"/>
  </mergeCells>
  <printOptions horizontalCentered="1"/>
  <pageMargins left="0.45" right="0.45" top="0.65" bottom="0.55" header="0.25" footer="0.25"/>
  <pageSetup orientation="portrait" paperSize="9" fitToHeight="1" fitToWidth="1"/>
  <headerFooter>
    <oddHeader>&amp;L&amp;K1B365DЛС-СИМ-01  ·  Симагино&amp;R&amp;K5C6670только работы</oddHeader>
    <oddFooter>&amp;L&amp;K5C6670Титульный лист&amp;C&amp;K5C6670стр. &amp;P из &amp;N&amp;R&amp;K5C6670230 000 ₽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D5A80"/>
    <outlinePr summaryBelow="1" summaryRight="1"/>
    <pageSetUpPr fitToPage="1"/>
  </sheetPr>
  <dimension ref="A1:L28"/>
  <sheetViews>
    <sheetView showGridLines="0" view="normal"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14" customWidth="1" min="4" max="4"/>
    <col width="4" customWidth="1" min="5" max="5"/>
    <col width="22" customWidth="1" min="6" max="6"/>
    <col width="18" customWidth="1" min="7" max="7"/>
    <col width="18" customWidth="1" min="8" max="8"/>
    <col width="18" customWidth="1" min="9" max="9"/>
    <col width="4" customWidth="1" min="10" max="10"/>
    <col hidden="1" width="13" customWidth="1" min="12" max="12"/>
  </cols>
  <sheetData>
    <row r="1" ht="24" customHeight="1">
      <c r="A1" s="1" t="n"/>
      <c r="B1" s="38" t="inlineStr">
        <is>
          <t>СВОДКА   ·   СИМАГИНО   ·   ТОЛЬКО РАБОТЫ</t>
        </is>
      </c>
      <c r="E1" s="1" t="n"/>
      <c r="F1" s="1" t="n"/>
      <c r="G1" s="1" t="n"/>
      <c r="H1" s="1" t="n"/>
      <c r="I1" s="1" t="n"/>
      <c r="J1" s="1" t="n"/>
    </row>
    <row r="2" ht="5" customHeight="1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22" customHeight="1">
      <c r="A4" s="4" t="n"/>
      <c r="B4" s="39" t="inlineStr">
        <is>
          <t>Раздел</t>
        </is>
      </c>
      <c r="C4" s="39" t="inlineStr">
        <is>
          <t>Сумма, ₽</t>
        </is>
      </c>
      <c r="D4" s="39" t="inlineStr">
        <is>
          <t>Доля</t>
        </is>
      </c>
      <c r="E4" s="4" t="n"/>
      <c r="F4" s="4" t="n"/>
      <c r="G4" s="4" t="n"/>
      <c r="H4" s="4" t="n"/>
      <c r="I4" s="4" t="n"/>
      <c r="J4" s="4" t="n"/>
    </row>
    <row r="5" ht="24" customHeight="1">
      <c r="A5" s="4" t="n"/>
      <c r="B5" s="40" t="inlineStr">
        <is>
          <t>1.  Электромонтажные работы</t>
        </is>
      </c>
      <c r="C5" s="41">
        <f>Смета!F13</f>
        <v/>
      </c>
      <c r="D5" s="42">
        <f>IF(Смета!F33=0,0,C5/Смета!F33)</f>
        <v/>
      </c>
      <c r="E5" s="4" t="n"/>
      <c r="F5" s="4" t="n"/>
      <c r="G5" s="4" t="n"/>
      <c r="H5" s="4" t="n"/>
      <c r="I5" s="4" t="n"/>
      <c r="J5" s="4" t="n"/>
      <c r="L5" t="inlineStr">
        <is>
          <t>Электрика</t>
        </is>
      </c>
    </row>
    <row r="6" ht="24" customHeight="1">
      <c r="A6" s="4" t="n"/>
      <c r="B6" s="43" t="inlineStr">
        <is>
          <t>2.  Подготовка стен, 1 этаж</t>
        </is>
      </c>
      <c r="C6" s="44">
        <f>Смета!F19</f>
        <v/>
      </c>
      <c r="D6" s="45">
        <f>IF(Смета!F33=0,0,C6/Смета!F33)</f>
        <v/>
      </c>
      <c r="E6" s="4" t="n"/>
      <c r="F6" s="4" t="n"/>
      <c r="G6" s="4" t="n"/>
      <c r="H6" s="4" t="n"/>
      <c r="I6" s="4" t="n"/>
      <c r="J6" s="4" t="n"/>
      <c r="L6" t="inlineStr">
        <is>
          <t>Стены 1 этажа</t>
        </is>
      </c>
    </row>
    <row r="7" ht="24" customHeight="1">
      <c r="A7" s="4" t="n"/>
      <c r="B7" s="40" t="inlineStr">
        <is>
          <t>3.  Откосы, подоконники, короб над печкой</t>
        </is>
      </c>
      <c r="C7" s="41">
        <f>Смета!F25</f>
        <v/>
      </c>
      <c r="D7" s="42">
        <f>IF(Смета!F33=0,0,C7/Смета!F33)</f>
        <v/>
      </c>
      <c r="E7" s="4" t="n"/>
      <c r="F7" s="4" t="n"/>
      <c r="G7" s="4" t="n"/>
      <c r="H7" s="4" t="n"/>
      <c r="I7" s="4" t="n"/>
      <c r="J7" s="4" t="n"/>
      <c r="L7" t="inlineStr">
        <is>
          <t>Откосы и короб</t>
        </is>
      </c>
    </row>
    <row r="8" ht="24" customHeight="1">
      <c r="A8" s="4" t="n"/>
      <c r="B8" s="43" t="inlineStr">
        <is>
          <t>4.  Котельная: трубы, коллекторы, бойлер</t>
        </is>
      </c>
      <c r="C8" s="44">
        <f>Смета!F31</f>
        <v/>
      </c>
      <c r="D8" s="45">
        <f>IF(Смета!F33=0,0,C8/Смета!F33)</f>
        <v/>
      </c>
      <c r="E8" s="4" t="n"/>
      <c r="F8" s="4" t="n"/>
      <c r="G8" s="4" t="n"/>
      <c r="H8" s="4" t="n"/>
      <c r="I8" s="4" t="n"/>
      <c r="J8" s="4" t="n"/>
      <c r="L8" t="inlineStr">
        <is>
          <t>Котельная</t>
        </is>
      </c>
    </row>
    <row r="9" ht="28" customHeight="1">
      <c r="A9" s="4" t="n"/>
      <c r="B9" s="46" t="inlineStr">
        <is>
          <t>Итого работы</t>
        </is>
      </c>
      <c r="C9" s="47">
        <f>Смета!F33</f>
        <v/>
      </c>
      <c r="D9" s="48" t="inlineStr">
        <is>
          <t>100%</t>
        </is>
      </c>
      <c r="E9" s="4" t="n"/>
      <c r="F9" s="4" t="n"/>
      <c r="G9" s="4" t="n"/>
      <c r="H9" s="4" t="n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 ht="22" customHeight="1">
      <c r="A11" s="4" t="n"/>
      <c r="B11" s="49" t="inlineStr">
        <is>
          <t>Двести тридцать тысяч рублей 00 копеек</t>
        </is>
      </c>
      <c r="E11" s="4" t="n"/>
      <c r="F11" s="4" t="n"/>
      <c r="G11" s="4" t="n"/>
      <c r="H11" s="4" t="n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A13" s="4" t="n"/>
      <c r="B13" s="19" t="inlineStr">
        <is>
          <t>Как читать сводку</t>
        </is>
      </c>
      <c r="E13" s="4" t="n"/>
      <c r="F13" s="4" t="n"/>
      <c r="G13" s="4" t="n"/>
      <c r="H13" s="4" t="n"/>
      <c r="I13" s="4" t="n"/>
      <c r="J13" s="4" t="n"/>
    </row>
    <row r="14" ht="22" customHeight="1">
      <c r="A14" s="4" t="n"/>
      <c r="B14" s="50" t="inlineStr">
        <is>
          <t>1.  В итог входят только 14 работ из задания. Ни одна посторонняя работа не добавлена.</t>
        </is>
      </c>
      <c r="C14" s="29" t="n"/>
      <c r="D14" s="29" t="n"/>
      <c r="E14" s="4" t="n"/>
      <c r="F14" s="4" t="n"/>
      <c r="G14" s="4" t="n"/>
      <c r="H14" s="4" t="n"/>
      <c r="I14" s="4" t="n"/>
      <c r="J14" s="4" t="n"/>
    </row>
    <row r="15" ht="22" customHeight="1">
      <c r="A15" s="4" t="n"/>
      <c r="B15" s="51" t="inlineStr">
        <is>
          <t>2.  Крупные строки — штробление с прокладкой провода и шпаклёвка стен в два слоя.</t>
        </is>
      </c>
      <c r="C15" s="52" t="n"/>
      <c r="D15" s="52" t="n"/>
      <c r="E15" s="4" t="n"/>
      <c r="F15" s="4" t="n"/>
      <c r="G15" s="4" t="n"/>
      <c r="H15" s="4" t="n"/>
      <c r="I15" s="4" t="n"/>
      <c r="J15" s="4" t="n"/>
    </row>
    <row r="16" ht="22" customHeight="1">
      <c r="A16" s="4" t="n"/>
      <c r="B16" s="50" t="inlineStr">
        <is>
          <t>3.  Электромонтаж и подготовка стен вместе дают большую часть суммы.</t>
        </is>
      </c>
      <c r="C16" s="29" t="n"/>
      <c r="D16" s="29" t="n"/>
      <c r="E16" s="4" t="n"/>
      <c r="F16" s="4" t="n"/>
      <c r="G16" s="4" t="n"/>
      <c r="H16" s="4" t="n"/>
      <c r="I16" s="4" t="n"/>
      <c r="J16" s="4" t="n"/>
    </row>
    <row r="17" ht="22" customHeight="1">
      <c r="A17" s="4" t="n"/>
      <c r="B17" s="51" t="inlineStr">
        <is>
          <t>4.  Котельная — трубы до котла, коллекторный узел с фильтром и обвязка бойлера.</t>
        </is>
      </c>
      <c r="C17" s="52" t="n"/>
      <c r="D17" s="52" t="n"/>
      <c r="E17" s="4" t="n"/>
      <c r="F17" s="4" t="n"/>
      <c r="G17" s="4" t="n"/>
      <c r="H17" s="4" t="n"/>
      <c r="I17" s="4" t="n"/>
      <c r="J17" s="4" t="n"/>
    </row>
    <row r="18" ht="22" customHeight="1">
      <c r="A18" s="4" t="n"/>
      <c r="B18" s="50" t="inlineStr">
        <is>
          <t>5.  Количество в смете можно заменить: сумма строки и итог пересчитаются сами.</t>
        </is>
      </c>
      <c r="C18" s="29" t="n"/>
      <c r="D18" s="29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</sheetData>
  <mergeCells count="8">
    <mergeCell ref="B11:D11"/>
    <mergeCell ref="B14:D14"/>
    <mergeCell ref="B1:D1"/>
    <mergeCell ref="B17:D17"/>
    <mergeCell ref="B18:D18"/>
    <mergeCell ref="B13:D13"/>
    <mergeCell ref="B15:D15"/>
    <mergeCell ref="B16:D16"/>
  </mergeCells>
  <printOptions horizontalCentered="1"/>
  <pageMargins left="0.45" right="0.45" top="0.65" bottom="0.55" header="0.25" footer="0.25"/>
  <pageSetup orientation="landscape" paperSize="9" fitToHeight="1" fitToWidth="1"/>
  <headerFooter>
    <oddHeader>&amp;L&amp;K1B365DЛС-СИМ-01  ·  Симагино&amp;R&amp;K5C6670только работы</oddHeader>
    <oddFooter>&amp;L&amp;K5C6670Сводка&amp;C&amp;K5C6670стр. &amp;P из &amp;N&amp;R&amp;K5C6670230 000 ₽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1B365D"/>
    <outlinePr summaryBelow="1" summaryRight="1"/>
    <pageSetUpPr fitToPage="1"/>
  </sheetPr>
  <dimension ref="A1:G48"/>
  <sheetViews>
    <sheetView showGridLines="0" view="normal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2" customWidth="1" min="3" max="3"/>
    <col width="12" customWidth="1" min="4" max="4"/>
    <col width="14" customWidth="1" min="5" max="5"/>
    <col width="16" customWidth="1" min="6" max="6"/>
    <col width="48" customWidth="1" min="7" max="7"/>
  </cols>
  <sheetData>
    <row r="1" ht="22" customHeight="1">
      <c r="A1" s="2" t="inlineStr">
        <is>
          <t>ЛОКАЛЬНАЯ СМЕТА НА РАБОТЫ   ·   ЛС-СИМ-01   ·   ОБЪЕКТ СИМАГИНО</t>
        </is>
      </c>
    </row>
    <row r="2" ht="5" customHeight="1">
      <c r="A2" s="3" t="n"/>
      <c r="B2" s="3" t="n"/>
      <c r="C2" s="3" t="n"/>
      <c r="D2" s="3" t="n"/>
      <c r="E2" s="3" t="n"/>
      <c r="F2" s="3" t="n"/>
      <c r="G2" s="3" t="n"/>
    </row>
    <row r="3" ht="18" customHeight="1">
      <c r="A3" s="53" t="inlineStr">
        <is>
          <t>Только работы. Материалы, оборудование и крепёж в итог не входят.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24" customHeight="1">
      <c r="A5" s="39" t="inlineStr">
        <is>
          <t>№</t>
        </is>
      </c>
      <c r="B5" s="39" t="inlineStr">
        <is>
          <t>Наименование работ</t>
        </is>
      </c>
      <c r="C5" s="39" t="inlineStr">
        <is>
          <t>Ед. изм.</t>
        </is>
      </c>
      <c r="D5" s="39" t="inlineStr">
        <is>
          <t>Кол-во</t>
        </is>
      </c>
      <c r="E5" s="39" t="inlineStr">
        <is>
          <t>Расценка, ₽</t>
        </is>
      </c>
      <c r="F5" s="39" t="inlineStr">
        <is>
          <t>Сумма, ₽</t>
        </is>
      </c>
      <c r="G5" s="39" t="inlineStr">
        <is>
          <t>Что входит в строку</t>
        </is>
      </c>
    </row>
    <row r="6" ht="22" customHeight="1">
      <c r="A6" s="54" t="inlineStr">
        <is>
          <t>1</t>
        </is>
      </c>
      <c r="B6" s="55" t="inlineStr">
        <is>
          <t>Электромонтажные работы</t>
        </is>
      </c>
      <c r="C6" s="56" t="n"/>
      <c r="D6" s="56" t="n"/>
      <c r="E6" s="56" t="n"/>
      <c r="F6" s="56" t="n"/>
      <c r="G6" s="56" t="n"/>
    </row>
    <row r="7" ht="20" customHeight="1">
      <c r="A7" s="57" t="inlineStr">
        <is>
          <t>Завершение электрики по уже намеченным трассам. Новый щит не собирается.</t>
        </is>
      </c>
    </row>
    <row r="8" ht="28" customHeight="1">
      <c r="A8" s="58" t="inlineStr">
        <is>
          <t>1.1</t>
        </is>
      </c>
      <c r="B8" s="59" t="inlineStr">
        <is>
          <t>Вмазка коробок</t>
        </is>
      </c>
      <c r="C8" s="58" t="inlineStr">
        <is>
          <t>шт.</t>
        </is>
      </c>
      <c r="D8" s="60" t="n">
        <v>40</v>
      </c>
      <c r="E8" s="61" t="n">
        <v>400</v>
      </c>
      <c r="F8" s="62">
        <f>ROUND(D8*E8,0)</f>
        <v/>
      </c>
      <c r="G8" s="40" t="inlineStr">
        <is>
          <t>Подрозетники и установочные коробки. Смесь — заказчика</t>
        </is>
      </c>
    </row>
    <row r="9" ht="28" customHeight="1">
      <c r="A9" s="63" t="inlineStr">
        <is>
          <t>1.2</t>
        </is>
      </c>
      <c r="B9" s="64" t="inlineStr">
        <is>
          <t>Штробление и прокладка проводов</t>
        </is>
      </c>
      <c r="C9" s="63" t="inlineStr">
        <is>
          <t>м.п.</t>
        </is>
      </c>
      <c r="D9" s="65" t="n">
        <v>60</v>
      </c>
      <c r="E9" s="66" t="n">
        <v>800</v>
      </c>
      <c r="F9" s="67">
        <f>ROUND(D9*E9,0)</f>
        <v/>
      </c>
      <c r="G9" s="43" t="inlineStr">
        <is>
          <t>Резка штрабы и укладка провода. Заделка штрабы не входит</t>
        </is>
      </c>
    </row>
    <row r="10" ht="28" customHeight="1">
      <c r="A10" s="58" t="inlineStr">
        <is>
          <t>1.3</t>
        </is>
      </c>
      <c r="B10" s="59" t="inlineStr">
        <is>
          <t>Демонтаж 2-го щита</t>
        </is>
      </c>
      <c r="C10" s="58" t="inlineStr">
        <is>
          <t>шт.</t>
        </is>
      </c>
      <c r="D10" s="60" t="n">
        <v>1</v>
      </c>
      <c r="E10" s="61" t="n">
        <v>5000</v>
      </c>
      <c r="F10" s="62">
        <f>ROUND(D10*E10,0)</f>
        <v/>
      </c>
      <c r="G10" s="40" t="inlineStr">
        <is>
          <t>Снятие щита и отключение его линий</t>
        </is>
      </c>
    </row>
    <row r="11" ht="28" customHeight="1">
      <c r="A11" s="63" t="inlineStr">
        <is>
          <t>1.4</t>
        </is>
      </c>
      <c r="B11" s="64" t="inlineStr">
        <is>
          <t>Прозвонка проводов</t>
        </is>
      </c>
      <c r="C11" s="63" t="inlineStr">
        <is>
          <t>линия</t>
        </is>
      </c>
      <c r="D11" s="65" t="n">
        <v>40</v>
      </c>
      <c r="E11" s="66" t="n">
        <v>150</v>
      </c>
      <c r="F11" s="67">
        <f>ROUND(D11*E11,0)</f>
        <v/>
      </c>
      <c r="G11" s="43" t="inlineStr">
        <is>
          <t>Прозвонка и маркировка линий</t>
        </is>
      </c>
    </row>
    <row r="12" ht="28" customHeight="1">
      <c r="A12" s="58" t="inlineStr">
        <is>
          <t>1.5</t>
        </is>
      </c>
      <c r="B12" s="59" t="inlineStr">
        <is>
          <t>Распайка коробок</t>
        </is>
      </c>
      <c r="C12" s="58" t="inlineStr">
        <is>
          <t>шт.</t>
        </is>
      </c>
      <c r="D12" s="60" t="n">
        <v>20</v>
      </c>
      <c r="E12" s="61" t="n">
        <v>700</v>
      </c>
      <c r="F12" s="62">
        <f>ROUND(D12*E12,0)</f>
        <v/>
      </c>
      <c r="G12" s="40" t="inlineStr">
        <is>
          <t>Соединения в распаечных коробках</t>
        </is>
      </c>
    </row>
    <row r="13" ht="22" customHeight="1">
      <c r="A13" s="68" t="inlineStr">
        <is>
          <t>Итого по разделу 1.  Электромонтажные работы</t>
        </is>
      </c>
      <c r="B13" s="69" t="n"/>
      <c r="C13" s="69" t="n"/>
      <c r="D13" s="69" t="n"/>
      <c r="E13" s="69" t="n"/>
      <c r="F13" s="70">
        <f>SUM(F8:F12)</f>
        <v/>
      </c>
      <c r="G13" s="71" t="n"/>
    </row>
    <row r="14" ht="22" customHeight="1">
      <c r="A14" s="54" t="inlineStr">
        <is>
          <t>2</t>
        </is>
      </c>
      <c r="B14" s="55" t="inlineStr">
        <is>
          <t>Подготовка стен, 1 этаж</t>
        </is>
      </c>
      <c r="C14" s="56" t="n"/>
      <c r="D14" s="56" t="n"/>
      <c r="E14" s="56" t="n"/>
      <c r="F14" s="56" t="n"/>
      <c r="G14" s="56" t="n"/>
    </row>
    <row r="15" ht="20" customHeight="1">
      <c r="A15" s="57" t="inlineStr">
        <is>
          <t>Только стены первого этажа. Потолок и второй этаж не входят. Окраска и обои не входят.</t>
        </is>
      </c>
    </row>
    <row r="16" ht="28" customHeight="1">
      <c r="A16" s="58" t="inlineStr">
        <is>
          <t>2.1</t>
        </is>
      </c>
      <c r="B16" s="59" t="inlineStr">
        <is>
          <t>Грунтовка стен 1 этажа</t>
        </is>
      </c>
      <c r="C16" s="58" t="inlineStr">
        <is>
          <t>м²</t>
        </is>
      </c>
      <c r="D16" s="60" t="n">
        <v>120</v>
      </c>
      <c r="E16" s="61" t="n">
        <v>75</v>
      </c>
      <c r="F16" s="62">
        <f>ROUND(D16*E16,0)</f>
        <v/>
      </c>
      <c r="G16" s="40" t="inlineStr">
        <is>
          <t>Один слой. Площадь стен за вычетом проёмов</t>
        </is>
      </c>
    </row>
    <row r="17" ht="28" customHeight="1">
      <c r="A17" s="63" t="inlineStr">
        <is>
          <t>2.2</t>
        </is>
      </c>
      <c r="B17" s="64" t="inlineStr">
        <is>
          <t>Шпаклёвка, 2 слоя</t>
        </is>
      </c>
      <c r="C17" s="63" t="inlineStr">
        <is>
          <t>м²</t>
        </is>
      </c>
      <c r="D17" s="65" t="n">
        <v>120</v>
      </c>
      <c r="E17" s="66" t="n">
        <v>450</v>
      </c>
      <c r="F17" s="67">
        <f>ROUND(D17*E17,0)</f>
        <v/>
      </c>
      <c r="G17" s="43" t="inlineStr">
        <is>
          <t>Два слоя под обои или окраску</t>
        </is>
      </c>
    </row>
    <row r="18" ht="28" customHeight="1">
      <c r="A18" s="58" t="inlineStr">
        <is>
          <t>2.3</t>
        </is>
      </c>
      <c r="B18" s="59" t="inlineStr">
        <is>
          <t>Вышкуривание</t>
        </is>
      </c>
      <c r="C18" s="58" t="inlineStr">
        <is>
          <t>м²</t>
        </is>
      </c>
      <c r="D18" s="60" t="n">
        <v>120</v>
      </c>
      <c r="E18" s="61" t="n">
        <v>100</v>
      </c>
      <c r="F18" s="62">
        <f>ROUND(D18*E18,0)</f>
        <v/>
      </c>
      <c r="G18" s="40" t="inlineStr">
        <is>
          <t>Шлифовка шпаклёвки. Абразив — заказчика</t>
        </is>
      </c>
    </row>
    <row r="19" ht="22" customHeight="1">
      <c r="A19" s="68" t="inlineStr">
        <is>
          <t>Итого по разделу 2.  Подготовка стен, 1 этаж</t>
        </is>
      </c>
      <c r="B19" s="69" t="n"/>
      <c r="C19" s="69" t="n"/>
      <c r="D19" s="69" t="n"/>
      <c r="E19" s="69" t="n"/>
      <c r="F19" s="70">
        <f>SUM(F16:F18)</f>
        <v/>
      </c>
      <c r="G19" s="71" t="n"/>
    </row>
    <row r="20" ht="22" customHeight="1">
      <c r="A20" s="54" t="inlineStr">
        <is>
          <t>3</t>
        </is>
      </c>
      <c r="B20" s="55" t="inlineStr">
        <is>
          <t>Откосы, подоконники, короб над печкой</t>
        </is>
      </c>
      <c r="C20" s="56" t="n"/>
      <c r="D20" s="56" t="n"/>
      <c r="E20" s="56" t="n"/>
      <c r="F20" s="56" t="n"/>
      <c r="G20" s="56" t="n"/>
    </row>
    <row r="21" ht="20" customHeight="1">
      <c r="A21" s="57" t="inlineStr">
        <is>
          <t>Изделия и листовой материал — заказчика. Чистовая окраска этих узлов не входит.</t>
        </is>
      </c>
    </row>
    <row r="22" ht="28" customHeight="1">
      <c r="A22" s="58" t="inlineStr">
        <is>
          <t>3.1</t>
        </is>
      </c>
      <c r="B22" s="59" t="inlineStr">
        <is>
          <t>Устройство откосов в дверном блоке</t>
        </is>
      </c>
      <c r="C22" s="58" t="inlineStr">
        <is>
          <t>м.п.</t>
        </is>
      </c>
      <c r="D22" s="60" t="n">
        <v>6</v>
      </c>
      <c r="E22" s="61" t="n">
        <v>1500</v>
      </c>
      <c r="F22" s="62">
        <f>ROUND(D22*E22,0)</f>
        <v/>
      </c>
      <c r="G22" s="40" t="inlineStr">
        <is>
          <t>Один дверной блок: стойки и вершник</t>
        </is>
      </c>
    </row>
    <row r="23" ht="28" customHeight="1">
      <c r="A23" s="63" t="inlineStr">
        <is>
          <t>3.2</t>
        </is>
      </c>
      <c r="B23" s="64" t="inlineStr">
        <is>
          <t>Монтаж дубовых подоконников</t>
        </is>
      </c>
      <c r="C23" s="63" t="inlineStr">
        <is>
          <t>шт.</t>
        </is>
      </c>
      <c r="D23" s="65" t="n">
        <v>4</v>
      </c>
      <c r="E23" s="66" t="n">
        <v>2500</v>
      </c>
      <c r="F23" s="67">
        <f>ROUND(D23*E23,0)</f>
        <v/>
      </c>
      <c r="G23" s="43" t="inlineStr">
        <is>
          <t>Подгонка и крепление. Масло и лак не входят</t>
        </is>
      </c>
    </row>
    <row r="24" ht="28" customHeight="1">
      <c r="A24" s="58" t="inlineStr">
        <is>
          <t>3.3</t>
        </is>
      </c>
      <c r="B24" s="59" t="inlineStr">
        <is>
          <t>Устройство короба над печкой</t>
        </is>
      </c>
      <c r="C24" s="58" t="inlineStr">
        <is>
          <t>компл.</t>
        </is>
      </c>
      <c r="D24" s="60" t="n">
        <v>1</v>
      </c>
      <c r="E24" s="61" t="n">
        <v>11000</v>
      </c>
      <c r="F24" s="62">
        <f>ROUND(D24*E24,0)</f>
        <v/>
      </c>
      <c r="G24" s="40" t="inlineStr">
        <is>
          <t>Каркас и обшивка. Чистовая отделка короба не входит</t>
        </is>
      </c>
    </row>
    <row r="25" ht="22" customHeight="1">
      <c r="A25" s="68" t="inlineStr">
        <is>
          <t>Итого по разделу 3.  Откосы, подоконники, короб над печкой</t>
        </is>
      </c>
      <c r="B25" s="69" t="n"/>
      <c r="C25" s="69" t="n"/>
      <c r="D25" s="69" t="n"/>
      <c r="E25" s="69" t="n"/>
      <c r="F25" s="70">
        <f>SUM(F22:F24)</f>
        <v/>
      </c>
      <c r="G25" s="71" t="n"/>
    </row>
    <row r="26" ht="22" customHeight="1">
      <c r="A26" s="54" t="inlineStr">
        <is>
          <t>4</t>
        </is>
      </c>
      <c r="B26" s="55" t="inlineStr">
        <is>
          <t>Котельная: трубы, коллекторы, бойлер</t>
        </is>
      </c>
      <c r="C26" s="56" t="n"/>
      <c r="D26" s="56" t="n"/>
      <c r="E26" s="56" t="n"/>
      <c r="F26" s="56" t="n"/>
      <c r="G26" s="56" t="n"/>
    </row>
    <row r="27" ht="20" customHeight="1">
      <c r="A27" s="57" t="inlineStr">
        <is>
          <t>Гидравлическая часть. Котёл не монтируется и не запускается. Бойлер электрически не подключается.</t>
        </is>
      </c>
    </row>
    <row r="28" ht="28" customHeight="1">
      <c r="A28" s="58" t="inlineStr">
        <is>
          <t>4.1</t>
        </is>
      </c>
      <c r="B28" s="59" t="inlineStr">
        <is>
          <t>Укладка труб до котла</t>
        </is>
      </c>
      <c r="C28" s="58" t="inlineStr">
        <is>
          <t>м.п.</t>
        </is>
      </c>
      <c r="D28" s="60" t="n">
        <v>15</v>
      </c>
      <c r="E28" s="61" t="n">
        <v>800</v>
      </c>
      <c r="F28" s="62">
        <f>ROUND(D28*E28,0)</f>
        <v/>
      </c>
      <c r="G28" s="40" t="inlineStr">
        <is>
          <t>Прокладка и крепление трассы. Пуск котла не входит</t>
        </is>
      </c>
    </row>
    <row r="29" ht="28" customHeight="1">
      <c r="A29" s="63" t="inlineStr">
        <is>
          <t>4.2</t>
        </is>
      </c>
      <c r="B29" s="64" t="inlineStr">
        <is>
          <t>Монтаж коллекторов, фильтра и подключение труб</t>
        </is>
      </c>
      <c r="C29" s="63" t="inlineStr">
        <is>
          <t>компл.</t>
        </is>
      </c>
      <c r="D29" s="65" t="n">
        <v>1</v>
      </c>
      <c r="E29" s="66" t="n">
        <v>15000</v>
      </c>
      <c r="F29" s="67">
        <f>ROUND(D29*E29,0)</f>
        <v/>
      </c>
      <c r="G29" s="43" t="inlineStr">
        <is>
          <t>Сборка узла и подключение труб. Оборудование — заказчика</t>
        </is>
      </c>
    </row>
    <row r="30" ht="28" customHeight="1">
      <c r="A30" s="58" t="inlineStr">
        <is>
          <t>4.3</t>
        </is>
      </c>
      <c r="B30" s="59" t="inlineStr">
        <is>
          <t>Обвязка бойлера</t>
        </is>
      </c>
      <c r="C30" s="58" t="inlineStr">
        <is>
          <t>компл.</t>
        </is>
      </c>
      <c r="D30" s="60" t="n">
        <v>1</v>
      </c>
      <c r="E30" s="61" t="n">
        <v>9000</v>
      </c>
      <c r="F30" s="62">
        <f>ROUND(D30*E30,0)</f>
        <v/>
      </c>
      <c r="G30" s="40" t="inlineStr">
        <is>
          <t>Обвязка по воде. Электроподключение не входит</t>
        </is>
      </c>
    </row>
    <row r="31" ht="22" customHeight="1">
      <c r="A31" s="68" t="inlineStr">
        <is>
          <t>Итого по разделу 4.  Котельная: трубы, коллекторы, бойлер</t>
        </is>
      </c>
      <c r="B31" s="69" t="n"/>
      <c r="C31" s="69" t="n"/>
      <c r="D31" s="69" t="n"/>
      <c r="E31" s="69" t="n"/>
      <c r="F31" s="70">
        <f>SUM(F28:F30)</f>
        <v/>
      </c>
      <c r="G31" s="71" t="n"/>
    </row>
    <row r="32">
      <c r="A32" s="4" t="n"/>
      <c r="B32" s="4" t="n"/>
      <c r="C32" s="4" t="n"/>
      <c r="D32" s="4" t="n"/>
      <c r="E32" s="4" t="n"/>
      <c r="F32" s="4" t="n"/>
      <c r="G32" s="4" t="n"/>
    </row>
    <row r="33" ht="30" customHeight="1">
      <c r="A33" s="72" t="inlineStr">
        <is>
          <t>ИТОГО РАБОТЫ</t>
        </is>
      </c>
      <c r="B33" s="73" t="n"/>
      <c r="C33" s="73" t="n"/>
      <c r="D33" s="73" t="n"/>
      <c r="E33" s="73" t="n"/>
      <c r="F33" s="74">
        <f>F13+F19+F25+F31</f>
        <v/>
      </c>
      <c r="G33" s="75" t="inlineStr">
        <is>
          <t>без материалов</t>
        </is>
      </c>
    </row>
    <row r="34" ht="20" customHeight="1">
      <c r="A34" s="76" t="inlineStr">
        <is>
          <t>Двести тридцать тысяч рублей 00 копеек</t>
        </is>
      </c>
    </row>
    <row r="35" ht="28" customHeight="1">
      <c r="A35" s="77" t="inlineStr">
        <is>
          <t>Объёмы договорные и приняты под итог 230 000 ₽. Если на объекте количество другое — строка считается как новое количество × расценка. Дата сметы 05.10.2026. Срок действия 30 дней.</t>
        </is>
      </c>
    </row>
    <row r="36">
      <c r="A36" s="4" t="n"/>
      <c r="B36" s="4" t="n"/>
      <c r="C36" s="4" t="n"/>
      <c r="D36" s="4" t="n"/>
      <c r="E36" s="4" t="n"/>
      <c r="F36" s="4" t="n"/>
      <c r="G36" s="4" t="n"/>
    </row>
    <row r="37">
      <c r="A37" s="4" t="n"/>
      <c r="B37" s="4" t="n"/>
      <c r="C37" s="4" t="n"/>
      <c r="D37" s="4" t="n"/>
      <c r="E37" s="4" t="n"/>
      <c r="F37" s="4" t="n"/>
      <c r="G37" s="4" t="n"/>
    </row>
    <row r="38">
      <c r="A38" s="4" t="n"/>
      <c r="B38" s="4" t="n"/>
      <c r="C38" s="4" t="n"/>
      <c r="D38" s="4" t="n"/>
      <c r="E38" s="4" t="n"/>
      <c r="F38" s="4" t="n"/>
      <c r="G38" s="4" t="n"/>
    </row>
    <row r="39">
      <c r="A39" s="4" t="n"/>
      <c r="B39" s="4" t="n"/>
      <c r="C39" s="4" t="n"/>
      <c r="D39" s="4" t="n"/>
      <c r="E39" s="4" t="n"/>
      <c r="F39" s="4" t="n"/>
      <c r="G39" s="4" t="n"/>
    </row>
    <row r="40">
      <c r="A40" s="4" t="n"/>
      <c r="B40" s="4" t="n"/>
      <c r="C40" s="4" t="n"/>
      <c r="D40" s="4" t="n"/>
      <c r="E40" s="4" t="n"/>
      <c r="F40" s="4" t="n"/>
      <c r="G40" s="4" t="n"/>
    </row>
    <row r="41">
      <c r="A41" s="4" t="n"/>
      <c r="B41" s="4" t="n"/>
      <c r="C41" s="4" t="n"/>
      <c r="D41" s="4" t="n"/>
      <c r="E41" s="4" t="n"/>
      <c r="F41" s="4" t="n"/>
      <c r="G41" s="4" t="n"/>
    </row>
    <row r="42">
      <c r="A42" s="4" t="n"/>
      <c r="B42" s="4" t="n"/>
      <c r="C42" s="4" t="n"/>
      <c r="D42" s="4" t="n"/>
      <c r="E42" s="4" t="n"/>
      <c r="F42" s="4" t="n"/>
      <c r="G42" s="4" t="n"/>
    </row>
    <row r="43">
      <c r="A43" s="4" t="n"/>
      <c r="B43" s="4" t="n"/>
      <c r="C43" s="4" t="n"/>
      <c r="D43" s="4" t="n"/>
      <c r="E43" s="4" t="n"/>
      <c r="F43" s="4" t="n"/>
      <c r="G43" s="4" t="n"/>
    </row>
    <row r="44">
      <c r="A44" s="4" t="n"/>
      <c r="B44" s="4" t="n"/>
      <c r="C44" s="4" t="n"/>
      <c r="D44" s="4" t="n"/>
      <c r="E44" s="4" t="n"/>
      <c r="F44" s="4" t="n"/>
      <c r="G44" s="4" t="n"/>
    </row>
    <row r="45">
      <c r="A45" s="4" t="n"/>
      <c r="B45" s="4" t="n"/>
      <c r="C45" s="4" t="n"/>
      <c r="D45" s="4" t="n"/>
      <c r="E45" s="4" t="n"/>
      <c r="F45" s="4" t="n"/>
      <c r="G45" s="4" t="n"/>
    </row>
    <row r="46">
      <c r="A46" s="4" t="n"/>
      <c r="B46" s="4" t="n"/>
      <c r="C46" s="4" t="n"/>
      <c r="D46" s="4" t="n"/>
      <c r="E46" s="4" t="n"/>
      <c r="F46" s="4" t="n"/>
      <c r="G46" s="4" t="n"/>
    </row>
    <row r="47">
      <c r="A47" s="4" t="n"/>
      <c r="B47" s="4" t="n"/>
      <c r="C47" s="4" t="n"/>
      <c r="D47" s="4" t="n"/>
      <c r="E47" s="4" t="n"/>
      <c r="F47" s="4" t="n"/>
      <c r="G47" s="4" t="n"/>
    </row>
    <row r="48">
      <c r="A48" s="4" t="n"/>
      <c r="B48" s="4" t="n"/>
      <c r="C48" s="4" t="n"/>
      <c r="D48" s="4" t="n"/>
      <c r="E48" s="4" t="n"/>
      <c r="F48" s="4" t="n"/>
      <c r="G48" s="4" t="n"/>
    </row>
  </sheetData>
  <mergeCells count="17">
    <mergeCell ref="B20:G20"/>
    <mergeCell ref="A1:G1"/>
    <mergeCell ref="A27:G27"/>
    <mergeCell ref="B14:G14"/>
    <mergeCell ref="A3:G3"/>
    <mergeCell ref="A21:G21"/>
    <mergeCell ref="A25:E25"/>
    <mergeCell ref="A34:G34"/>
    <mergeCell ref="A35:G35"/>
    <mergeCell ref="A19:E19"/>
    <mergeCell ref="A33:E33"/>
    <mergeCell ref="B26:G26"/>
    <mergeCell ref="A15:G15"/>
    <mergeCell ref="A13:E13"/>
    <mergeCell ref="A7:G7"/>
    <mergeCell ref="A31:E31"/>
    <mergeCell ref="B6:G6"/>
  </mergeCells>
  <printOptions horizontalCentered="1"/>
  <pageMargins left="0.45" right="0.45" top="0.65" bottom="0.55" header="0.25" footer="0.25"/>
  <pageSetup orientation="landscape" paperSize="9" fitToHeight="1" fitToWidth="1"/>
  <headerFooter>
    <oddHeader>&amp;L&amp;K1B365DЛС-СИМ-01  ·  Симагино&amp;R&amp;K5C6670только работы</oddHeader>
    <oddFooter>&amp;L&amp;K5C6670Локальная смета&amp;C&amp;K5C6670стр. &amp;P из &amp;N&amp;R&amp;K5C6670230 000 ₽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F6B4F"/>
    <outlinePr summaryBelow="1" summaryRight="1"/>
    <pageSetUpPr fitToPage="1"/>
  </sheetPr>
  <dimension ref="A1:E24"/>
  <sheetViews>
    <sheetView showGridLines="0" view="normal"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18" customWidth="1" min="3" max="3"/>
    <col width="16" customWidth="1" min="4" max="4"/>
    <col width="52" customWidth="1" min="5" max="5"/>
  </cols>
  <sheetData>
    <row r="1" ht="24" customHeight="1">
      <c r="A1" s="38" t="inlineStr">
        <is>
          <t>ДОГОВОРНЫЕ ОБЪЁМЫ   ·   ПОД ИТОГ 230 000 ₽</t>
        </is>
      </c>
    </row>
    <row r="2" ht="5" customHeight="1">
      <c r="A2" s="3" t="n"/>
      <c r="B2" s="3" t="n"/>
      <c r="C2" s="3" t="n"/>
      <c r="D2" s="3" t="n"/>
      <c r="E2" s="3" t="n"/>
    </row>
    <row r="3" ht="32" customHeight="1">
      <c r="A3" s="78" t="inlineStr">
        <is>
          <t>Количество ниже — основание цены, а не результат обмера. На объекте Симагино строка пересчитывается, если фактический объём отличается: новое количество × расценка листа «Смета».</t>
        </is>
      </c>
    </row>
    <row r="4">
      <c r="A4" s="4" t="n"/>
      <c r="B4" s="4" t="n"/>
      <c r="C4" s="4" t="n"/>
      <c r="D4" s="4" t="n"/>
      <c r="E4" s="4" t="n"/>
    </row>
    <row r="5" ht="22" customHeight="1">
      <c r="A5" s="39" t="inlineStr">
        <is>
          <t>№</t>
        </is>
      </c>
      <c r="B5" s="39" t="inlineStr">
        <is>
          <t>Показатель</t>
        </is>
      </c>
      <c r="C5" s="39" t="inlineStr">
        <is>
          <t>Объём</t>
        </is>
      </c>
      <c r="D5" s="39" t="inlineStr">
        <is>
          <t>Пункт сметы</t>
        </is>
      </c>
      <c r="E5" s="39" t="inlineStr">
        <is>
          <t>Пояснение</t>
        </is>
      </c>
    </row>
    <row r="6" ht="22" customHeight="1">
      <c r="A6" s="79" t="n">
        <v>1</v>
      </c>
      <c r="B6" s="10" t="inlineStr">
        <is>
          <t>Стены 1 этажа под грунт, шпаклёвку и шлифовку</t>
        </is>
      </c>
      <c r="C6" s="80" t="inlineStr">
        <is>
          <t>120 м²</t>
        </is>
      </c>
      <c r="D6" s="79" t="inlineStr">
        <is>
          <t>п. 2.1–2.3</t>
        </is>
      </c>
      <c r="E6" s="10" t="inlineStr">
        <is>
          <t>За вычетом проёмов. Потолок не считается</t>
        </is>
      </c>
    </row>
    <row r="7" ht="22" customHeight="1">
      <c r="A7" s="81" t="n">
        <v>2</v>
      </c>
      <c r="B7" s="82" t="inlineStr">
        <is>
          <t>Штрабы с укладкой провода</t>
        </is>
      </c>
      <c r="C7" s="83" t="inlineStr">
        <is>
          <t>60 м.п.</t>
        </is>
      </c>
      <c r="D7" s="81" t="inlineStr">
        <is>
          <t>п. 1.2</t>
        </is>
      </c>
      <c r="E7" s="82" t="inlineStr">
        <is>
          <t>Штробление и прокладка одной строкой</t>
        </is>
      </c>
    </row>
    <row r="8" ht="22" customHeight="1">
      <c r="A8" s="79" t="n">
        <v>3</v>
      </c>
      <c r="B8" s="10" t="inlineStr">
        <is>
          <t>Коробки под вмазку</t>
        </is>
      </c>
      <c r="C8" s="80" t="inlineStr">
        <is>
          <t>40 шт.</t>
        </is>
      </c>
      <c r="D8" s="79" t="inlineStr">
        <is>
          <t>п. 1.1</t>
        </is>
      </c>
      <c r="E8" s="10" t="inlineStr">
        <is>
          <t>Подрозетники и установочные коробки</t>
        </is>
      </c>
    </row>
    <row r="9" ht="22" customHeight="1">
      <c r="A9" s="81" t="n">
        <v>4</v>
      </c>
      <c r="B9" s="82" t="inlineStr">
        <is>
          <t>Линии на прозвонку</t>
        </is>
      </c>
      <c r="C9" s="83" t="inlineStr">
        <is>
          <t>40 линий</t>
        </is>
      </c>
      <c r="D9" s="81" t="inlineStr">
        <is>
          <t>п. 1.4</t>
        </is>
      </c>
      <c r="E9" s="82" t="inlineStr">
        <is>
          <t>С маркировкой</t>
        </is>
      </c>
    </row>
    <row r="10" ht="22" customHeight="1">
      <c r="A10" s="79" t="n">
        <v>5</v>
      </c>
      <c r="B10" s="10" t="inlineStr">
        <is>
          <t>Распаечные коробки</t>
        </is>
      </c>
      <c r="C10" s="80" t="inlineStr">
        <is>
          <t>20 шт.</t>
        </is>
      </c>
      <c r="D10" s="79" t="inlineStr">
        <is>
          <t>п. 1.5</t>
        </is>
      </c>
      <c r="E10" s="10" t="inlineStr">
        <is>
          <t>Соединения внутри коробки</t>
        </is>
      </c>
    </row>
    <row r="11" ht="22" customHeight="1">
      <c r="A11" s="81" t="n">
        <v>6</v>
      </c>
      <c r="B11" s="82" t="inlineStr">
        <is>
          <t>Второй электрический щит</t>
        </is>
      </c>
      <c r="C11" s="83" t="inlineStr">
        <is>
          <t>1 шт.</t>
        </is>
      </c>
      <c r="D11" s="81" t="inlineStr">
        <is>
          <t>п. 1.3</t>
        </is>
      </c>
      <c r="E11" s="82" t="inlineStr">
        <is>
          <t>Только демонтаж</t>
        </is>
      </c>
    </row>
    <row r="12" ht="22" customHeight="1">
      <c r="A12" s="79" t="n">
        <v>7</v>
      </c>
      <c r="B12" s="10" t="inlineStr">
        <is>
          <t>Откосы дверного блока</t>
        </is>
      </c>
      <c r="C12" s="80" t="inlineStr">
        <is>
          <t>6 м.п.</t>
        </is>
      </c>
      <c r="D12" s="79" t="inlineStr">
        <is>
          <t>п. 3.1</t>
        </is>
      </c>
      <c r="E12" s="10" t="inlineStr">
        <is>
          <t>Один блок, стойки и вершник</t>
        </is>
      </c>
    </row>
    <row r="13" ht="22" customHeight="1">
      <c r="A13" s="81" t="n">
        <v>8</v>
      </c>
      <c r="B13" s="82" t="inlineStr">
        <is>
          <t>Дубовые подоконники</t>
        </is>
      </c>
      <c r="C13" s="83" t="inlineStr">
        <is>
          <t>4 шт.</t>
        </is>
      </c>
      <c r="D13" s="81" t="inlineStr">
        <is>
          <t>п. 3.2</t>
        </is>
      </c>
      <c r="E13" s="82" t="inlineStr">
        <is>
          <t>Изделия заказчика</t>
        </is>
      </c>
    </row>
    <row r="14" ht="22" customHeight="1">
      <c r="A14" s="79" t="n">
        <v>9</v>
      </c>
      <c r="B14" s="10" t="inlineStr">
        <is>
          <t>Короб над печкой</t>
        </is>
      </c>
      <c r="C14" s="80" t="inlineStr">
        <is>
          <t>1 компл.</t>
        </is>
      </c>
      <c r="D14" s="79" t="inlineStr">
        <is>
          <t>п. 3.3</t>
        </is>
      </c>
      <c r="E14" s="10" t="inlineStr">
        <is>
          <t>Каркас и обшивка</t>
        </is>
      </c>
    </row>
    <row r="15" ht="22" customHeight="1">
      <c r="A15" s="81" t="n">
        <v>10</v>
      </c>
      <c r="B15" s="82" t="inlineStr">
        <is>
          <t>Трасса труб до котла</t>
        </is>
      </c>
      <c r="C15" s="83" t="inlineStr">
        <is>
          <t>15 м.п.</t>
        </is>
      </c>
      <c r="D15" s="81" t="inlineStr">
        <is>
          <t>п. 4.1</t>
        </is>
      </c>
      <c r="E15" s="82" t="inlineStr">
        <is>
          <t>Без установки котла</t>
        </is>
      </c>
    </row>
    <row r="16" ht="22" customHeight="1">
      <c r="A16" s="79" t="n">
        <v>11</v>
      </c>
      <c r="B16" s="10" t="inlineStr">
        <is>
          <t>Коллекторы и фильтр</t>
        </is>
      </c>
      <c r="C16" s="80" t="inlineStr">
        <is>
          <t>1 компл.</t>
        </is>
      </c>
      <c r="D16" s="79" t="inlineStr">
        <is>
          <t>п. 4.2</t>
        </is>
      </c>
      <c r="E16" s="10" t="inlineStr">
        <is>
          <t>Монтаж узла и подключение труб</t>
        </is>
      </c>
    </row>
    <row r="17" ht="22" customHeight="1">
      <c r="A17" s="81" t="n">
        <v>12</v>
      </c>
      <c r="B17" s="82" t="inlineStr">
        <is>
          <t>Бойлер</t>
        </is>
      </c>
      <c r="C17" s="83" t="inlineStr">
        <is>
          <t>1 компл.</t>
        </is>
      </c>
      <c r="D17" s="81" t="inlineStr">
        <is>
          <t>п. 4.3</t>
        </is>
      </c>
      <c r="E17" s="82" t="inlineStr">
        <is>
          <t>Гидравлическая обвязка</t>
        </is>
      </c>
    </row>
    <row r="18">
      <c r="A18" s="4" t="n"/>
      <c r="B18" s="4" t="n"/>
      <c r="C18" s="4" t="n"/>
      <c r="D18" s="4" t="n"/>
      <c r="E18" s="4" t="n"/>
    </row>
    <row r="19">
      <c r="A19" s="4" t="n"/>
      <c r="B19" s="4" t="n"/>
      <c r="C19" s="4" t="n"/>
      <c r="D19" s="4" t="n"/>
      <c r="E19" s="4" t="n"/>
    </row>
    <row r="20">
      <c r="A20" s="4" t="n"/>
      <c r="B20" s="4" t="n"/>
      <c r="C20" s="4" t="n"/>
      <c r="D20" s="4" t="n"/>
      <c r="E20" s="4" t="n"/>
    </row>
    <row r="21">
      <c r="A21" s="4" t="n"/>
      <c r="B21" s="4" t="n"/>
      <c r="C21" s="4" t="n"/>
      <c r="D21" s="4" t="n"/>
      <c r="E21" s="4" t="n"/>
    </row>
    <row r="22">
      <c r="A22" s="4" t="n"/>
      <c r="B22" s="4" t="n"/>
      <c r="C22" s="4" t="n"/>
      <c r="D22" s="4" t="n"/>
      <c r="E22" s="4" t="n"/>
    </row>
    <row r="23">
      <c r="A23" s="4" t="n"/>
      <c r="B23" s="4" t="n"/>
      <c r="C23" s="4" t="n"/>
      <c r="D23" s="4" t="n"/>
      <c r="E23" s="4" t="n"/>
    </row>
    <row r="24">
      <c r="A24" s="4" t="n"/>
      <c r="B24" s="4" t="n"/>
      <c r="C24" s="4" t="n"/>
      <c r="D24" s="4" t="n"/>
      <c r="E24" s="4" t="n"/>
    </row>
  </sheetData>
  <mergeCells count="2">
    <mergeCell ref="A1:E1"/>
    <mergeCell ref="A3:E3"/>
  </mergeCells>
  <printOptions horizontalCentered="1"/>
  <pageMargins left="0.45" right="0.45" top="0.65" bottom="0.55" header="0.25" footer="0.25"/>
  <pageSetup orientation="landscape" paperSize="9" fitToHeight="1" fitToWidth="1"/>
  <headerFooter>
    <oddHeader>&amp;L&amp;K1B365DЛС-СИМ-01  ·  Симагино&amp;R&amp;K5C6670только работы</oddHeader>
    <oddFooter>&amp;L&amp;K5C6670Договорные объёмы&amp;C&amp;K5C6670стр. &amp;P из &amp;N&amp;R&amp;K5C6670230 000 ₽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A65D3F"/>
    <outlinePr summaryBelow="1" summaryRight="1"/>
    <pageSetUpPr fitToPage="1"/>
  </sheetPr>
  <dimension ref="A1:D36"/>
  <sheetViews>
    <sheetView showGridLines="0" view="normal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78" customWidth="1" min="3" max="3"/>
    <col width="4" customWidth="1" min="4" max="4"/>
  </cols>
  <sheetData>
    <row r="1" ht="24" customHeight="1">
      <c r="A1" s="1" t="n"/>
      <c r="B1" s="38" t="inlineStr">
        <is>
          <t>УСЛОВИЯ СМЕТЫ</t>
        </is>
      </c>
      <c r="D1" s="1" t="n"/>
    </row>
    <row r="2" ht="5" customHeight="1">
      <c r="A2" s="3" t="n"/>
      <c r="B2" s="3" t="n"/>
      <c r="C2" s="3" t="n"/>
      <c r="D2" s="3" t="n"/>
    </row>
    <row r="3">
      <c r="A3" s="4" t="n"/>
      <c r="B3" s="4" t="n"/>
      <c r="C3" s="4" t="n"/>
      <c r="D3" s="4" t="n"/>
    </row>
    <row r="4" ht="20" customHeight="1">
      <c r="A4" s="4" t="n"/>
      <c r="B4" s="84" t="inlineStr">
        <is>
          <t>Цена</t>
        </is>
      </c>
      <c r="C4" s="85" t="n"/>
      <c r="D4" s="4" t="n"/>
    </row>
    <row r="5" ht="26" customHeight="1">
      <c r="A5" s="4" t="n"/>
      <c r="B5" s="86" t="inlineStr">
        <is>
          <t>1.</t>
        </is>
      </c>
      <c r="C5" s="10" t="inlineStr">
        <is>
          <t>Итог 230 000 ₽ — стоимость работ по 14 пунктам перечня.</t>
        </is>
      </c>
      <c r="D5" s="4" t="n"/>
    </row>
    <row r="6" ht="26" customHeight="1">
      <c r="A6" s="4" t="n"/>
      <c r="B6" s="87" t="inlineStr">
        <is>
          <t>2.</t>
        </is>
      </c>
      <c r="C6" s="13" t="inlineStr">
        <is>
          <t>Материалы, оборудование, доставка и подъём в эту сумму не входят.</t>
        </is>
      </c>
      <c r="D6" s="4" t="n"/>
    </row>
    <row r="7" ht="26" customHeight="1">
      <c r="A7" s="4" t="n"/>
      <c r="B7" s="86" t="inlineStr">
        <is>
          <t>3.</t>
        </is>
      </c>
      <c r="C7" s="10" t="inlineStr">
        <is>
          <t>НДС не выделен.</t>
        </is>
      </c>
      <c r="D7" s="4" t="n"/>
    </row>
    <row r="8">
      <c r="A8" s="4" t="n"/>
      <c r="B8" s="4" t="n"/>
      <c r="C8" s="4" t="n"/>
      <c r="D8" s="4" t="n"/>
    </row>
    <row r="9" ht="20" customHeight="1">
      <c r="A9" s="4" t="n"/>
      <c r="B9" s="84" t="inlineStr">
        <is>
          <t>Объёмы</t>
        </is>
      </c>
      <c r="C9" s="85" t="n"/>
      <c r="D9" s="4" t="n"/>
    </row>
    <row r="10" ht="26" customHeight="1">
      <c r="A10" s="4" t="n"/>
      <c r="B10" s="87" t="inlineStr">
        <is>
          <t>4.</t>
        </is>
      </c>
      <c r="C10" s="13" t="inlineStr">
        <is>
          <t>Стены первого этажа приняты 120 м² — одна и та же площадь на грунт, два слоя шпаклёвки и шлифовку.</t>
        </is>
      </c>
      <c r="D10" s="4" t="n"/>
    </row>
    <row r="11" ht="26" customHeight="1">
      <c r="A11" s="4" t="n"/>
      <c r="B11" s="86" t="inlineStr">
        <is>
          <t>5.</t>
        </is>
      </c>
      <c r="C11" s="10" t="inlineStr">
        <is>
          <t>Штраба с проводом — 60 м.п. Вмазка — 40 коробок. Распайка — 20 коробок. Прозвонка — 40 линий.</t>
        </is>
      </c>
      <c r="D11" s="4" t="n"/>
    </row>
    <row r="12" ht="26" customHeight="1">
      <c r="A12" s="4" t="n"/>
      <c r="B12" s="87" t="inlineStr">
        <is>
          <t>6.</t>
        </is>
      </c>
      <c r="C12" s="13" t="inlineStr">
        <is>
          <t>Откосы — 6 м.п. одного дверного блока. Дубовые подоконники — 4 шт. Короб над печкой — 1.</t>
        </is>
      </c>
      <c r="D12" s="4" t="n"/>
    </row>
    <row r="13" ht="26" customHeight="1">
      <c r="A13" s="4" t="n"/>
      <c r="B13" s="86" t="inlineStr">
        <is>
          <t>7.</t>
        </is>
      </c>
      <c r="C13" s="10" t="inlineStr">
        <is>
          <t>Трасса до котла — 15 м.п. Коллекторы с фильтром — 1 узел. Обвязка бойлера — 1.</t>
        </is>
      </c>
      <c r="D13" s="4" t="n"/>
    </row>
    <row r="14">
      <c r="A14" s="4" t="n"/>
      <c r="B14" s="4" t="n"/>
      <c r="C14" s="4" t="n"/>
      <c r="D14" s="4" t="n"/>
    </row>
    <row r="15" ht="20" customHeight="1">
      <c r="A15" s="4" t="n"/>
      <c r="B15" s="84" t="inlineStr">
        <is>
          <t>Границы работ</t>
        </is>
      </c>
      <c r="C15" s="85" t="n"/>
      <c r="D15" s="4" t="n"/>
    </row>
    <row r="16" ht="26" customHeight="1">
      <c r="A16" s="4" t="n"/>
      <c r="B16" s="87" t="inlineStr">
        <is>
          <t>8.</t>
        </is>
      </c>
      <c r="C16" s="13" t="inlineStr">
        <is>
          <t>Штробление включает резку и укладку провода. Заделка штрабы штукатуркой не входит.</t>
        </is>
      </c>
      <c r="D16" s="4" t="n"/>
    </row>
    <row r="17" ht="26" customHeight="1">
      <c r="A17" s="4" t="n"/>
      <c r="B17" s="86" t="inlineStr">
        <is>
          <t>9.</t>
        </is>
      </c>
      <c r="C17" s="10" t="inlineStr">
        <is>
          <t>Демонтаж касается второго щита. Сборка и установка нового щита не входят.</t>
        </is>
      </c>
      <c r="D17" s="4" t="n"/>
    </row>
    <row r="18" ht="26" customHeight="1">
      <c r="A18" s="4" t="n"/>
      <c r="B18" s="87" t="inlineStr">
        <is>
          <t>10.</t>
        </is>
      </c>
      <c r="C18" s="13" t="inlineStr">
        <is>
          <t>Шпаклёвка — два слоя под обои или окраску. Сама окраска и обои не входят.</t>
        </is>
      </c>
      <c r="D18" s="4" t="n"/>
    </row>
    <row r="19" ht="26" customHeight="1">
      <c r="A19" s="4" t="n"/>
      <c r="B19" s="86" t="inlineStr">
        <is>
          <t>11.</t>
        </is>
      </c>
      <c r="C19" s="10" t="inlineStr">
        <is>
          <t>Подоконники монтируются без покрытия маслом или лаком.</t>
        </is>
      </c>
      <c r="D19" s="4" t="n"/>
    </row>
    <row r="20" ht="26" customHeight="1">
      <c r="A20" s="4" t="n"/>
      <c r="B20" s="87" t="inlineStr">
        <is>
          <t>12.</t>
        </is>
      </c>
      <c r="C20" s="13" t="inlineStr">
        <is>
          <t>Короб над печкой — каркас и обшивка, без чистовой отделки.</t>
        </is>
      </c>
      <c r="D20" s="4" t="n"/>
    </row>
    <row r="21" ht="26" customHeight="1">
      <c r="A21" s="4" t="n"/>
      <c r="B21" s="86" t="inlineStr">
        <is>
          <t>13.</t>
        </is>
      </c>
      <c r="C21" s="10" t="inlineStr">
        <is>
          <t>Трубы доводятся до котла. Сам котёл не ставится и не запускается.</t>
        </is>
      </c>
      <c r="D21" s="4" t="n"/>
    </row>
    <row r="22" ht="26" customHeight="1">
      <c r="A22" s="4" t="n"/>
      <c r="B22" s="87" t="inlineStr">
        <is>
          <t>14.</t>
        </is>
      </c>
      <c r="C22" s="13" t="inlineStr">
        <is>
          <t>Обвязка бойлера — по воде. Электрическое подключение бойлера не входит.</t>
        </is>
      </c>
      <c r="D22" s="4" t="n"/>
    </row>
    <row r="23" ht="26" customHeight="1">
      <c r="A23" s="4" t="n"/>
      <c r="B23" s="86" t="inlineStr">
        <is>
          <t>15.</t>
        </is>
      </c>
      <c r="C23" s="10" t="inlineStr">
        <is>
          <t>Потолки, второй этаж и вывоз мусора не входят.</t>
        </is>
      </c>
      <c r="D23" s="4" t="n"/>
    </row>
    <row r="24">
      <c r="A24" s="4" t="n"/>
      <c r="B24" s="4" t="n"/>
      <c r="C24" s="4" t="n"/>
      <c r="D24" s="4" t="n"/>
    </row>
    <row r="25" ht="20" customHeight="1">
      <c r="A25" s="4" t="n"/>
      <c r="B25" s="84" t="inlineStr">
        <is>
          <t>Порядок</t>
        </is>
      </c>
      <c r="C25" s="85" t="n"/>
      <c r="D25" s="4" t="n"/>
    </row>
    <row r="26" ht="26" customHeight="1">
      <c r="A26" s="4" t="n"/>
      <c r="B26" s="87" t="inlineStr">
        <is>
          <t>16.</t>
        </is>
      </c>
      <c r="C26" s="13" t="inlineStr">
        <is>
          <t>Скрытые линии прозваниваются и распаиваются до закрытия коробок.</t>
        </is>
      </c>
      <c r="D26" s="4" t="n"/>
    </row>
    <row r="27" ht="26" customHeight="1">
      <c r="A27" s="4" t="n"/>
      <c r="B27" s="86" t="inlineStr">
        <is>
          <t>17.</t>
        </is>
      </c>
      <c r="C27" s="10" t="inlineStr">
        <is>
          <t>Срок действия расценок — 30 дней с даты сметы.</t>
        </is>
      </c>
      <c r="D27" s="4" t="n"/>
    </row>
    <row r="28" ht="26" customHeight="1">
      <c r="A28" s="4" t="n"/>
      <c r="B28" s="87" t="inlineStr">
        <is>
          <t>18.</t>
        </is>
      </c>
      <c r="C28" s="13" t="inlineStr">
        <is>
          <t>Оплата и календарный график фиксируются в договоре, не в этой смете.</t>
        </is>
      </c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  <row r="31">
      <c r="A31" s="4" t="n"/>
      <c r="B31" s="4" t="n"/>
      <c r="C31" s="4" t="n"/>
      <c r="D31" s="4" t="n"/>
    </row>
    <row r="32">
      <c r="A32" s="4" t="n"/>
      <c r="B32" s="4" t="n"/>
      <c r="C32" s="4" t="n"/>
      <c r="D32" s="4" t="n"/>
    </row>
    <row r="33">
      <c r="A33" s="4" t="n"/>
      <c r="B33" s="4" t="n"/>
      <c r="C33" s="4" t="n"/>
      <c r="D33" s="4" t="n"/>
    </row>
    <row r="34">
      <c r="A34" s="4" t="n"/>
      <c r="B34" s="4" t="n"/>
      <c r="C34" s="4" t="n"/>
      <c r="D34" s="4" t="n"/>
    </row>
    <row r="35">
      <c r="A35" s="4" t="n"/>
      <c r="B35" s="4" t="n"/>
      <c r="C35" s="4" t="n"/>
      <c r="D35" s="4" t="n"/>
    </row>
    <row r="36">
      <c r="A36" s="4" t="n"/>
      <c r="B36" s="4" t="n"/>
      <c r="C36" s="4" t="n"/>
      <c r="D36" s="4" t="n"/>
    </row>
  </sheetData>
  <mergeCells count="5">
    <mergeCell ref="B15:C15"/>
    <mergeCell ref="B25:C25"/>
    <mergeCell ref="B9:C9"/>
    <mergeCell ref="B1:C1"/>
    <mergeCell ref="B4:C4"/>
  </mergeCells>
  <printOptions horizontalCentered="1"/>
  <pageMargins left="0.45" right="0.45" top="0.65" bottom="0.55" header="0.25" footer="0.25"/>
  <pageSetup orientation="portrait" paperSize="9" fitToHeight="1" fitToWidth="1"/>
  <headerFooter>
    <oddHeader>&amp;L&amp;K1B365DЛС-СИМ-01  ·  Симагино&amp;R&amp;K5C6670только работы</oddHeader>
    <oddFooter>&amp;L&amp;K5C6670Условия&amp;C&amp;K5C6670стр. &amp;P из &amp;N&amp;R&amp;K5C6670230 000 ₽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E6D3A3"/>
    <outlinePr summaryBelow="1" summaryRight="1"/>
    <pageSetUpPr fitToPage="1"/>
  </sheetPr>
  <dimension ref="A1:C22"/>
  <sheetViews>
    <sheetView showGridLines="0" view="normal"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78" customWidth="1" min="3" max="3"/>
  </cols>
  <sheetData>
    <row r="1" ht="24" customHeight="1">
      <c r="A1" s="88" t="inlineStr">
        <is>
          <t>МАТЕРИАЛЫ ЗАКАЗЧИКА   ·   В 230 000 ₽ НЕ ВХОДЯТ</t>
        </is>
      </c>
    </row>
    <row r="2" ht="5" customHeight="1">
      <c r="A2" s="3" t="n"/>
      <c r="B2" s="3" t="n"/>
      <c r="C2" s="3" t="n"/>
    </row>
    <row r="3" ht="20" customHeight="1">
      <c r="A3" s="53" t="inlineStr">
        <is>
          <t>Список для закупки. Цены материалов здесь нет: смета считает только работу.</t>
        </is>
      </c>
    </row>
    <row r="4">
      <c r="A4" s="4" t="n"/>
      <c r="B4" s="4" t="n"/>
      <c r="C4" s="4" t="n"/>
    </row>
    <row r="5" ht="22" customHeight="1">
      <c r="A5" s="39" t="inlineStr">
        <is>
          <t>№</t>
        </is>
      </c>
      <c r="B5" s="39" t="inlineStr">
        <is>
          <t>Группа</t>
        </is>
      </c>
      <c r="C5" s="39" t="inlineStr">
        <is>
          <t>Что подготовить</t>
        </is>
      </c>
    </row>
    <row r="6" ht="22" customHeight="1">
      <c r="A6" s="79" t="n">
        <v>1</v>
      </c>
      <c r="B6" s="80" t="inlineStr">
        <is>
          <t>Электрика</t>
        </is>
      </c>
      <c r="C6" s="10" t="inlineStr">
        <is>
          <t>Подрозетники, распаечные коробки, алебастр или гипс</t>
        </is>
      </c>
    </row>
    <row r="7" ht="22" customHeight="1">
      <c r="A7" s="81" t="n">
        <v>2</v>
      </c>
      <c r="B7" s="83" t="inlineStr">
        <is>
          <t>Электрика</t>
        </is>
      </c>
      <c r="C7" s="82" t="inlineStr">
        <is>
          <t>Кабель и провод, клеммы для распайки</t>
        </is>
      </c>
    </row>
    <row r="8" ht="22" customHeight="1">
      <c r="A8" s="79" t="n">
        <v>3</v>
      </c>
      <c r="B8" s="80" t="inlineStr">
        <is>
          <t>Стены</t>
        </is>
      </c>
      <c r="C8" s="10" t="inlineStr">
        <is>
          <t>Грунт</t>
        </is>
      </c>
    </row>
    <row r="9" ht="22" customHeight="1">
      <c r="A9" s="81" t="n">
        <v>4</v>
      </c>
      <c r="B9" s="83" t="inlineStr">
        <is>
          <t>Стены</t>
        </is>
      </c>
      <c r="C9" s="82" t="inlineStr">
        <is>
          <t>Шпаклёвка на два слоя</t>
        </is>
      </c>
    </row>
    <row r="10" ht="22" customHeight="1">
      <c r="A10" s="79" t="n">
        <v>5</v>
      </c>
      <c r="B10" s="80" t="inlineStr">
        <is>
          <t>Стены</t>
        </is>
      </c>
      <c r="C10" s="10" t="inlineStr">
        <is>
          <t>Абразивная сетка и наждачная бумага</t>
        </is>
      </c>
    </row>
    <row r="11" ht="22" customHeight="1">
      <c r="A11" s="81" t="n">
        <v>6</v>
      </c>
      <c r="B11" s="83" t="inlineStr">
        <is>
          <t>Откосы</t>
        </is>
      </c>
      <c r="C11" s="82" t="inlineStr">
        <is>
          <t>Смесь или листы, профиль и уголки на один дверной блок</t>
        </is>
      </c>
    </row>
    <row r="12" ht="22" customHeight="1">
      <c r="A12" s="79" t="n">
        <v>7</v>
      </c>
      <c r="B12" s="80" t="inlineStr">
        <is>
          <t>Подоконники</t>
        </is>
      </c>
      <c r="C12" s="10" t="inlineStr">
        <is>
          <t>Дубовые подоконники, 4 шт., крепёж и пена</t>
        </is>
      </c>
    </row>
    <row r="13" ht="22" customHeight="1">
      <c r="A13" s="81" t="n">
        <v>8</v>
      </c>
      <c r="B13" s="83" t="inlineStr">
        <is>
          <t>Печка</t>
        </is>
      </c>
      <c r="C13" s="82" t="inlineStr">
        <is>
          <t>Брусок или профиль и обшивка короба над печкой</t>
        </is>
      </c>
    </row>
    <row r="14" ht="22" customHeight="1">
      <c r="A14" s="79" t="n">
        <v>9</v>
      </c>
      <c r="B14" s="80" t="inlineStr">
        <is>
          <t>Котельная</t>
        </is>
      </c>
      <c r="C14" s="10" t="inlineStr">
        <is>
          <t>Труба, фитинги и крепёж трассы до котла</t>
        </is>
      </c>
    </row>
    <row r="15" ht="22" customHeight="1">
      <c r="A15" s="81" t="n">
        <v>10</v>
      </c>
      <c r="B15" s="83" t="inlineStr">
        <is>
          <t>Котельная</t>
        </is>
      </c>
      <c r="C15" s="82" t="inlineStr">
        <is>
          <t>Коллекторы, фильтр, краны и фитинги узла</t>
        </is>
      </c>
    </row>
    <row r="16" ht="22" customHeight="1">
      <c r="A16" s="79" t="n">
        <v>11</v>
      </c>
      <c r="B16" s="80" t="inlineStr">
        <is>
          <t>Котельная</t>
        </is>
      </c>
      <c r="C16" s="10" t="inlineStr">
        <is>
          <t>Комплект обвязки бойлера: краны, группа безопасности, американки</t>
        </is>
      </c>
    </row>
    <row r="17">
      <c r="A17" s="4" t="n"/>
      <c r="B17" s="4" t="n"/>
      <c r="C17" s="4" t="n"/>
    </row>
    <row r="18" ht="22" customHeight="1">
      <c r="A18" s="89" t="inlineStr">
        <is>
          <t>Инструмент исполнителя (штроборез, шлифмашина, паяльник, пресс) заказчик не покупает.</t>
        </is>
      </c>
    </row>
    <row r="19">
      <c r="A19" s="4" t="n"/>
      <c r="B19" s="4" t="n"/>
      <c r="C19" s="4" t="n"/>
    </row>
    <row r="20">
      <c r="A20" s="4" t="n"/>
      <c r="B20" s="4" t="n"/>
      <c r="C20" s="4" t="n"/>
    </row>
    <row r="21">
      <c r="A21" s="4" t="n"/>
      <c r="B21" s="4" t="n"/>
      <c r="C21" s="4" t="n"/>
    </row>
    <row r="22">
      <c r="A22" s="4" t="n"/>
      <c r="B22" s="4" t="n"/>
      <c r="C22" s="4" t="n"/>
    </row>
  </sheetData>
  <mergeCells count="3">
    <mergeCell ref="A1:C1"/>
    <mergeCell ref="A18:C18"/>
    <mergeCell ref="A3:C3"/>
  </mergeCells>
  <printOptions horizontalCentered="1"/>
  <pageMargins left="0.45" right="0.45" top="0.65" bottom="0.55" header="0.25" footer="0.25"/>
  <pageSetup orientation="portrait" paperSize="9" fitToHeight="1" fitToWidth="1"/>
  <headerFooter>
    <oddHeader>&amp;L&amp;K1B365DЛС-СИМ-01  ·  Симагино&amp;R&amp;K5C6670только работы</oddHeader>
    <oddFooter>&amp;L&amp;K5C6670Материалы заказчика&amp;C&amp;K5C6670стр. &amp;P из &amp;N&amp;R&amp;K5C6670230 000 ₽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Локальная смета</dc:creator>
  <dc:title>Смета работ · Симагино</dc:title>
  <dc:description>Объект Симагино. Электромонтаж, стены 1 этажа, откосы, подоконники, короб над печкой, трубы до котла, коллекторы и обвязка бойлера. Только работы.</dc:description>
  <dc:subject>Только работы, 230 000 руб.</dc:subject>
  <dcterms:created xsi:type="dcterms:W3CDTF">2026-10-05T16:55:20Z</dcterms:created>
  <dcterms:modified xsi:type="dcterms:W3CDTF">2026-10-05T16:55:20Z</dcterms:modified>
</cp:coreProperties>
</file>