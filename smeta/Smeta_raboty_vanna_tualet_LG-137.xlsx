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итул" sheetId="1" state="visible" r:id="rId1"/>
    <sheet name="Сводка" sheetId="2" state="visible" r:id="rId2"/>
    <sheet name="Смета" sheetId="3" state="visible" r:id="rId3"/>
    <sheet name="Объёмы" sheetId="4" state="visible" r:id="rId4"/>
    <sheet name="Условия" sheetId="5" state="visible" r:id="rId5"/>
    <sheet name="Закупка заказчика" sheetId="6" state="visible" r:id="rId6"/>
  </sheets>
  <definedNames>
    <definedName name="ITOGO_ZADANIE">Смета!F112</definedName>
    <definedName name="ITOGO_REZERV">Смета!F113</definedName>
    <definedName name="ITOGO_REC">Смета!F114</definedName>
    <definedName name="ITOGO_VSEGO">Смета!F115</definedName>
    <definedName name="_xlnm.Print_Area" localSheetId="0">'Титул'!$A$1:$H$46</definedName>
    <definedName name="_xlnm.Print_Area" localSheetId="1">'Сводка'!$A$1:$H$36</definedName>
    <definedName name="_xlnm.Print_Area" localSheetId="2">'Смета'!$A$1:$G$118</definedName>
    <definedName name="_xlnm.Print_Area" localSheetId="3">'Объёмы'!$A$1:$H$38</definedName>
    <definedName name="_xlnm.Print_Area" localSheetId="4">'Условия'!$A$1:$D$64</definedName>
    <definedName name="_xlnm.Print_Area" localSheetId="5">'Закупка заказчика'!$A$1:$G$47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6D3A3"/>
      <sz val="10"/>
    </font>
    <font>
      <name val="Calibri"/>
      <i val="1"/>
      <color rgb="00C4A35A"/>
      <sz val="9"/>
    </font>
    <font>
      <name val="Calibri"/>
      <color rgb="005C667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i val="1"/>
      <color rgb="003D5A80"/>
      <sz val="9"/>
    </font>
    <font>
      <name val="Calibri"/>
      <color rgb="001F2933"/>
      <sz val="10"/>
    </font>
    <font>
      <name val="Calibri"/>
      <b val="1"/>
      <color rgb="003D5A80"/>
      <sz val="10"/>
    </font>
    <font>
      <name val="Calibri"/>
      <b val="1"/>
      <color rgb="001B365D"/>
      <sz val="10"/>
    </font>
    <font>
      <name val="Calibri"/>
      <b val="1"/>
      <color rgb="001B365D"/>
      <sz val="11"/>
    </font>
    <font>
      <name val="Calibri"/>
      <b val="1"/>
      <color rgb="00FFFFFF"/>
      <sz val="13"/>
    </font>
    <font>
      <name val="Calibri"/>
      <b val="1"/>
      <color rgb="0012243F"/>
      <sz val="14"/>
    </font>
    <font>
      <name val="Calibri"/>
      <i val="1"/>
      <color rgb="005C6670"/>
      <sz val="9"/>
    </font>
    <font>
      <name val="Calibri"/>
      <color rgb="001B365D"/>
      <sz val="10"/>
    </font>
    <font>
      <name val="Calibri"/>
      <b val="1"/>
      <color rgb="00C4A35A"/>
      <sz val="11"/>
    </font>
    <font>
      <name val="Calibri"/>
      <b val="1"/>
      <color rgb="001B365D"/>
      <sz val="26"/>
    </font>
    <font>
      <name val="Calibri"/>
      <color rgb="003D5A80"/>
      <sz val="13"/>
    </font>
    <font>
      <name val="Calibri"/>
      <i val="1"/>
      <color rgb="005C6670"/>
      <sz val="11"/>
    </font>
    <font>
      <name val="Calibri"/>
      <b val="1"/>
      <color rgb="00C4A35A"/>
      <sz val="9"/>
    </font>
    <font>
      <name val="Calibri"/>
      <color rgb="00E6D3A3"/>
      <sz val="8"/>
    </font>
    <font>
      <name val="Calibri"/>
      <i val="1"/>
      <color rgb="003D5A80"/>
      <sz val="10"/>
    </font>
    <font>
      <name val="Calibri"/>
      <b val="1"/>
      <color rgb="001B365D"/>
      <sz val="14"/>
    </font>
    <font>
      <name val="Calibri"/>
      <color rgb="001F2933"/>
      <sz val="8"/>
    </font>
    <font>
      <name val="Calibri"/>
      <i val="1"/>
      <color rgb="005C6670"/>
      <sz val="8"/>
    </font>
    <font>
      <name val="Calibri"/>
      <b val="1"/>
      <color rgb="00FFFFFF"/>
      <sz val="12"/>
    </font>
    <font>
      <name val="Calibri"/>
      <b val="1"/>
      <color rgb="0012243F"/>
      <sz val="11"/>
    </font>
    <font>
      <name val="Calibri"/>
      <b val="1"/>
      <color rgb="0012243F"/>
      <sz val="12"/>
    </font>
    <font>
      <name val="Calibri"/>
      <color rgb="003D5A80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1F2933"/>
      <sz val="9"/>
    </font>
    <font>
      <name val="Calibri"/>
      <b val="1"/>
      <color rgb="001B365D"/>
      <sz val="12"/>
    </font>
    <font>
      <name val="Calibri"/>
      <b val="1"/>
      <color rgb="001B365D"/>
      <sz val="9"/>
    </font>
  </fonts>
  <fills count="1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C4A35A"/>
      </patternFill>
    </fill>
    <fill>
      <patternFill patternType="solid">
        <fgColor rgb="00F3EBDD"/>
      </patternFill>
    </fill>
    <fill>
      <patternFill patternType="solid">
        <fgColor rgb="003D5A80"/>
      </patternFill>
    </fill>
    <fill>
      <patternFill patternType="solid">
        <fgColor rgb="00EEF3F8"/>
      </patternFill>
    </fill>
    <fill>
      <patternFill patternType="solid">
        <fgColor rgb="00FFFFFF"/>
      </patternFill>
    </fill>
    <fill>
      <patternFill patternType="solid">
        <fgColor rgb="00F7F3EA"/>
      </patternFill>
    </fill>
    <fill>
      <patternFill patternType="solid">
        <fgColor rgb="00E7EEF6"/>
      </patternFill>
    </fill>
    <fill>
      <patternFill patternType="solid">
        <fgColor rgb="00FBF8F2"/>
      </patternFill>
    </fill>
    <fill>
      <patternFill patternType="solid">
        <fgColor rgb="00A65D3F"/>
      </patternFill>
    </fill>
    <fill>
      <patternFill patternType="solid">
        <fgColor rgb="00F6EEDC"/>
      </patternFill>
    </fill>
    <fill>
      <patternFill patternType="solid">
        <fgColor rgb="0012243F"/>
      </patternFill>
    </fill>
    <fill>
      <patternFill patternType="solid">
        <fgColor rgb="002F6B4F"/>
      </patternFill>
    </fill>
  </fills>
  <borders count="5">
    <border>
      <left/>
      <right/>
      <top/>
      <bottom/>
      <diagonal/>
    </border>
    <border>
      <left style="thin">
        <color rgb="003D5A80"/>
      </left>
      <right style="thin">
        <color rgb="003D5A80"/>
      </right>
      <top style="thin">
        <color rgb="003D5A80"/>
      </top>
      <bottom style="thin">
        <color rgb="003D5A80"/>
      </bottom>
    </border>
    <border>
      <left style="thin">
        <color rgb="00E8E0D4"/>
      </left>
      <right style="thin">
        <color rgb="00E8E0D4"/>
      </right>
      <top style="thin">
        <color rgb="00E8E0D4"/>
      </top>
      <bottom style="thin">
        <color rgb="00E8E0D4"/>
      </bottom>
    </border>
    <border>
      <left style="thin">
        <color rgb="00D7CDBD"/>
      </left>
      <right style="thin">
        <color rgb="00D7CDBD"/>
      </right>
      <top style="thin">
        <color rgb="00D7CDBD"/>
      </top>
      <bottom style="thin">
        <color rgb="00D7CDBD"/>
      </bottom>
    </border>
    <border>
      <left style="thin">
        <color rgb="001B365D"/>
      </left>
      <right style="thin">
        <color rgb="001B365D"/>
      </right>
      <top style="thin">
        <color rgb="001B365D"/>
      </top>
      <bottom style="thin">
        <color rgb="001B365D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0" fillId="13" borderId="0" pivotButton="0" quotePrefix="0" xfId="0"/>
    <xf numFmtId="0" fontId="16" fillId="1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10" borderId="0" pivotButton="0" quotePrefix="0" xfId="0"/>
    <xf numFmtId="0" fontId="17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pivotButton="0" quotePrefix="0" xfId="0"/>
    <xf numFmtId="0" fontId="10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8" fillId="7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8" fillId="4" borderId="2" applyAlignment="1" pivotButton="0" quotePrefix="0" xfId="0">
      <alignment horizontal="left" vertical="center" wrapText="1"/>
    </xf>
    <xf numFmtId="0" fontId="20" fillId="2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1" fillId="2" borderId="4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left" vertical="center" wrapText="1"/>
    </xf>
    <xf numFmtId="0" fontId="23" fillId="10" borderId="0" pivotButton="0" quotePrefix="0" xfId="0"/>
    <xf numFmtId="0" fontId="5" fillId="14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5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24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24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4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2" borderId="0" pivotButton="0" quotePrefix="0" xfId="0"/>
    <xf numFmtId="0" fontId="25" fillId="10" borderId="0" applyAlignment="1" pivotButton="0" quotePrefix="0" xfId="0">
      <alignment horizontal="left" vertical="center" wrapText="1"/>
    </xf>
    <xf numFmtId="0" fontId="15" fillId="10" borderId="0" pivotButton="0" quotePrefix="0" xfId="0"/>
    <xf numFmtId="0" fontId="25" fillId="1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4" fillId="1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3" fontId="8" fillId="7" borderId="2" applyAlignment="1" pivotButton="0" quotePrefix="0" xfId="0">
      <alignment horizontal="right" vertical="center" wrapText="1"/>
    </xf>
    <xf numFmtId="164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3" fontId="8" fillId="8" borderId="2" applyAlignment="1" pivotButton="0" quotePrefix="0" xfId="0">
      <alignment horizontal="right" vertical="center" wrapText="1"/>
    </xf>
    <xf numFmtId="164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3" fontId="8" fillId="12" borderId="2" applyAlignment="1" pivotButton="0" quotePrefix="0" xfId="0">
      <alignment horizontal="right" vertical="center" wrapText="1"/>
    </xf>
    <xf numFmtId="0" fontId="8" fillId="12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 wrapText="1"/>
    </xf>
    <xf numFmtId="0" fontId="6" fillId="2" borderId="0" pivotButton="0" quotePrefix="0" xfId="0"/>
    <xf numFmtId="3" fontId="26" fillId="2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right" vertical="center" wrapText="1"/>
    </xf>
    <xf numFmtId="0" fontId="6" fillId="5" borderId="0" pivotButton="0" quotePrefix="0" xfId="0"/>
    <xf numFmtId="3" fontId="26" fillId="5" borderId="0" applyAlignment="1" pivotButton="0" quotePrefix="0" xfId="0">
      <alignment horizontal="right" vertical="center" wrapText="1"/>
    </xf>
    <xf numFmtId="0" fontId="6" fillId="11" borderId="0" applyAlignment="1" pivotButton="0" quotePrefix="0" xfId="0">
      <alignment horizontal="right" vertical="center" wrapText="1"/>
    </xf>
    <xf numFmtId="0" fontId="6" fillId="11" borderId="0" pivotButton="0" quotePrefix="0" xfId="0"/>
    <xf numFmtId="3" fontId="26" fillId="11" borderId="0" applyAlignment="1" pivotButton="0" quotePrefix="0" xfId="0">
      <alignment horizontal="right" vertical="center" wrapText="1"/>
    </xf>
    <xf numFmtId="0" fontId="29" fillId="4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2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1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1" fontId="8" fillId="8" borderId="2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right" vertical="center" wrapText="1"/>
    </xf>
    <xf numFmtId="0" fontId="0" fillId="9" borderId="3" pivotButton="0" quotePrefix="0" xfId="0"/>
    <xf numFmtId="3" fontId="11" fillId="9" borderId="3" applyAlignment="1" pivotButton="0" quotePrefix="0" xfId="0">
      <alignment horizontal="right" vertical="center" wrapText="1"/>
    </xf>
    <xf numFmtId="2" fontId="8" fillId="8" borderId="2" applyAlignment="1" pivotButton="0" quotePrefix="0" xfId="0">
      <alignment horizontal="center" vertical="center" wrapText="1"/>
    </xf>
    <xf numFmtId="2" fontId="8" fillId="7" borderId="2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9" fillId="12" borderId="2" applyAlignment="1" pivotButton="0" quotePrefix="0" xfId="0">
      <alignment horizontal="center" vertical="center" wrapText="1"/>
    </xf>
    <xf numFmtId="1" fontId="8" fillId="12" borderId="2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right" vertical="center" wrapText="1"/>
    </xf>
    <xf numFmtId="3" fontId="12" fillId="2" borderId="0" applyAlignment="1" pivotButton="0" quotePrefix="0" xfId="0">
      <alignment horizontal="right" vertical="center" wrapText="1"/>
    </xf>
    <xf numFmtId="0" fontId="0" fillId="5" borderId="0" pivotButton="0" quotePrefix="0" xfId="0"/>
    <xf numFmtId="3" fontId="6" fillId="5" borderId="0" applyAlignment="1" pivotButton="0" quotePrefix="0" xfId="0">
      <alignment horizontal="right" vertical="center" wrapText="1"/>
    </xf>
    <xf numFmtId="3" fontId="6" fillId="11" borderId="0" applyAlignment="1" pivotButton="0" quotePrefix="0" xfId="0">
      <alignment horizontal="right" vertical="center" wrapText="1"/>
    </xf>
    <xf numFmtId="0" fontId="13" fillId="3" borderId="0" applyAlignment="1" pivotButton="0" quotePrefix="0" xfId="0">
      <alignment horizontal="right" vertical="center" wrapText="1"/>
    </xf>
    <xf numFmtId="3" fontId="13" fillId="3" borderId="0" applyAlignment="1" pivotButton="0" quotePrefix="0" xfId="0">
      <alignment horizontal="right" vertical="center" wrapText="1"/>
    </xf>
    <xf numFmtId="0" fontId="14" fillId="4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30" fillId="2" borderId="0" pivotButton="0" quotePrefix="0" xfId="0"/>
    <xf numFmtId="0" fontId="14" fillId="10" borderId="0" applyAlignment="1" pivotButton="0" quotePrefix="0" xfId="0">
      <alignment horizontal="left" vertical="center" wrapText="1"/>
    </xf>
    <xf numFmtId="0" fontId="31" fillId="5" borderId="0" applyAlignment="1" pivotButton="0" quotePrefix="0" xfId="0">
      <alignment horizontal="center" vertical="center" wrapText="1"/>
    </xf>
    <xf numFmtId="0" fontId="32" fillId="7" borderId="2" applyAlignment="1" pivotButton="0" quotePrefix="0" xfId="0">
      <alignment horizontal="left" vertical="center" wrapText="1"/>
    </xf>
    <xf numFmtId="2" fontId="32" fillId="7" borderId="2" applyAlignment="1" pivotButton="0" quotePrefix="0" xfId="0">
      <alignment horizontal="center" vertical="center" wrapText="1"/>
    </xf>
    <xf numFmtId="0" fontId="32" fillId="7" borderId="2" applyAlignment="1" pivotButton="0" quotePrefix="0" xfId="0">
      <alignment horizontal="center" vertical="center" wrapText="1"/>
    </xf>
    <xf numFmtId="0" fontId="32" fillId="8" borderId="2" applyAlignment="1" pivotButton="0" quotePrefix="0" xfId="0">
      <alignment horizontal="left" vertical="center" wrapText="1"/>
    </xf>
    <xf numFmtId="2" fontId="32" fillId="8" borderId="2" applyAlignment="1" pivotButton="0" quotePrefix="0" xfId="0">
      <alignment horizontal="center" vertical="center" wrapText="1"/>
    </xf>
    <xf numFmtId="0" fontId="32" fillId="8" borderId="2" applyAlignment="1" pivotButton="0" quotePrefix="0" xfId="0">
      <alignment horizontal="center" vertical="center" wrapText="1"/>
    </xf>
    <xf numFmtId="0" fontId="33" fillId="10" borderId="0" pivotButton="0" quotePrefix="0" xfId="0"/>
    <xf numFmtId="0" fontId="32" fillId="6" borderId="2" applyAlignment="1" pivotButton="0" quotePrefix="0" xfId="0">
      <alignment horizontal="left" vertical="center" wrapText="1"/>
    </xf>
    <xf numFmtId="0" fontId="32" fillId="6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5" fillId="2" borderId="0" pivotButton="0" quotePrefix="0" xfId="0"/>
    <xf numFmtId="0" fontId="34" fillId="7" borderId="2" applyAlignment="1" pivotButton="0" quotePrefix="0" xfId="0">
      <alignment horizontal="center" vertical="center" wrapText="1"/>
    </xf>
    <xf numFmtId="0" fontId="34" fillId="8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Структура основного объёма</a:t>
            </a:r>
          </a:p>
        </rich>
      </tx>
    </title>
    <plotArea>
      <pieChart>
        <varyColors val="1"/>
        <ser>
          <idx val="0"/>
          <order val="0"/>
          <tx>
            <strRef>
              <f>'Сводка'!D5</f>
            </strRef>
          </tx>
          <spPr>
            <a:ln>
              <a:prstDash val="solid"/>
            </a:ln>
          </spPr>
          <cat>
            <numRef>
              <f>'Сводка'!$C$6:$C$12</f>
            </numRef>
          </cat>
          <val>
            <numRef>
              <f>'Сводка'!$D$6:$D$12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Сумма по разделам, 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'Сводка'!D5</f>
            </strRef>
          </tx>
          <spPr>
            <a:ln>
              <a:prstDash val="solid"/>
            </a:ln>
          </spPr>
          <cat>
            <numRef>
              <f>'Сводка'!$B$6:$B$13</f>
            </numRef>
          </cat>
          <val>
            <numRef>
              <f>'Сводка'!$D$6:$D$13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H48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4" customWidth="1" min="8" max="8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1" t="n"/>
      <c r="B2" s="2" t="inlineStr">
        <is>
          <t>ЛОКАЛЬНАЯ СМЕТА  ·  ТОЛЬКО РАБОТЫ</t>
        </is>
      </c>
      <c r="H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16" customHeight="1">
      <c r="A5" s="4" t="n"/>
      <c r="B5" s="4" t="n"/>
      <c r="C5" s="4" t="n"/>
      <c r="D5" s="4" t="n"/>
      <c r="E5" s="4" t="n"/>
      <c r="F5" s="4" t="n"/>
      <c r="G5" s="4" t="n"/>
      <c r="H5" s="4" t="n"/>
    </row>
    <row r="6" ht="36" customHeight="1">
      <c r="A6" s="4" t="n"/>
      <c r="B6" s="5" t="inlineStr">
        <is>
          <t>Ремонт ванной комнаты и туалета</t>
        </is>
      </c>
      <c r="H6" s="4" t="n"/>
    </row>
    <row r="7" ht="22" customHeight="1">
      <c r="A7" s="4" t="n"/>
      <c r="B7" s="6" t="inlineStr">
        <is>
          <t>Дом серии ЛГ-137  ·  раздельный санузел (сантехкабина)</t>
        </is>
      </c>
      <c r="H7" s="4" t="n"/>
    </row>
    <row r="8" ht="20" customHeight="1">
      <c r="A8" s="4" t="n"/>
      <c r="B8" s="7" t="inlineStr">
        <is>
          <t>Подробный расчёт работ для заказчика  ·  материалы в смету не входят</t>
        </is>
      </c>
      <c r="H8" s="4" t="n"/>
    </row>
    <row r="9" ht="10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 ht="20" customHeight="1">
      <c r="A10" s="4" t="n"/>
      <c r="B10" s="8" t="inlineStr">
        <is>
          <t>Объект</t>
        </is>
      </c>
      <c r="C10" s="9" t="n"/>
      <c r="D10" s="10" t="inlineStr">
        <is>
          <t>Ванная 1700×1500 мм, туалет 1200×820 мм, высота 2550 мм</t>
        </is>
      </c>
      <c r="E10" s="9" t="n"/>
      <c r="F10" s="9" t="n"/>
      <c r="G10" s="9" t="n"/>
      <c r="H10" s="4" t="n"/>
    </row>
    <row r="11" ht="20" customHeight="1">
      <c r="A11" s="4" t="n"/>
      <c r="B11" s="11" t="inlineStr">
        <is>
          <t>Серия дома</t>
        </is>
      </c>
      <c r="C11" s="12" t="n"/>
      <c r="D11" s="13" t="inlineStr">
        <is>
          <t>ЛГ-137 (сантехкабина, дверные проёмы ≈ 570×1980 мм)</t>
        </is>
      </c>
      <c r="E11" s="12" t="n"/>
      <c r="F11" s="12" t="n"/>
      <c r="G11" s="12" t="n"/>
      <c r="H11" s="4" t="n"/>
    </row>
    <row r="12" ht="20" customHeight="1">
      <c r="A12" s="4" t="n"/>
      <c r="B12" s="8" t="inlineStr">
        <is>
          <t>Состав сметы</t>
        </is>
      </c>
      <c r="C12" s="9" t="n"/>
      <c r="D12" s="10" t="inlineStr">
        <is>
          <t>Только работы. Сантехника, плитка, трубы, смеси — закупка заказчика</t>
        </is>
      </c>
      <c r="E12" s="9" t="n"/>
      <c r="F12" s="9" t="n"/>
      <c r="G12" s="9" t="n"/>
      <c r="H12" s="4" t="n"/>
    </row>
    <row r="13" ht="20" customHeight="1">
      <c r="A13" s="4" t="n"/>
      <c r="B13" s="11" t="inlineStr">
        <is>
          <t>Не входит</t>
        </is>
      </c>
      <c r="C13" s="12" t="n"/>
      <c r="D13" s="13" t="inlineStr">
        <is>
          <t>Демонтаж плитки · потолок · стояки ХВС/ГВС · канализационный стояк</t>
        </is>
      </c>
      <c r="E13" s="12" t="n"/>
      <c r="F13" s="12" t="n"/>
      <c r="G13" s="12" t="n"/>
      <c r="H13" s="4" t="n"/>
    </row>
    <row r="14" ht="20" customHeight="1">
      <c r="A14" s="4" t="n"/>
      <c r="B14" s="8" t="inlineStr">
        <is>
          <t>Условия</t>
        </is>
      </c>
      <c r="C14" s="9" t="n"/>
      <c r="D14" s="10" t="inlineStr">
        <is>
          <t>В квартире живут: ежедневный временный унитаз, вынос стиральной машины</t>
        </is>
      </c>
      <c r="E14" s="9" t="n"/>
      <c r="F14" s="9" t="n"/>
      <c r="G14" s="9" t="n"/>
      <c r="H14" s="4" t="n"/>
    </row>
    <row r="15" ht="20" customHeight="1">
      <c r="A15" s="4" t="n"/>
      <c r="B15" s="11" t="inlineStr">
        <is>
          <t>Ванна (новая)</t>
        </is>
      </c>
      <c r="C15" s="12" t="n"/>
      <c r="D15" s="13" t="inlineStr">
        <is>
          <t>Из наливного камня, тяжёлая — подиум, занос 3–4 человека</t>
        </is>
      </c>
      <c r="E15" s="12" t="n"/>
      <c r="F15" s="12" t="n"/>
      <c r="G15" s="12" t="n"/>
      <c r="H15" s="4" t="n"/>
    </row>
    <row r="16" ht="20" customHeight="1">
      <c r="A16" s="4" t="n"/>
      <c r="B16" s="8" t="inlineStr">
        <is>
          <t>Срок работ</t>
        </is>
      </c>
      <c r="C16" s="9" t="n"/>
      <c r="D16" s="10" t="inlineStr">
        <is>
          <t>18 рабочих дней (ориентир, без учёта поставки материалов)</t>
        </is>
      </c>
      <c r="E16" s="9" t="n"/>
      <c r="F16" s="9" t="n"/>
      <c r="G16" s="9" t="n"/>
      <c r="H16" s="4" t="n"/>
    </row>
    <row r="17" ht="20" customHeight="1">
      <c r="A17" s="4" t="n"/>
      <c r="B17" s="11" t="inlineStr">
        <is>
          <t>Дата сметы</t>
        </is>
      </c>
      <c r="C17" s="12" t="n"/>
      <c r="D17" s="13" t="inlineStr">
        <is>
          <t>04.09.2026</t>
        </is>
      </c>
      <c r="E17" s="12" t="n"/>
      <c r="F17" s="12" t="n"/>
      <c r="G17" s="12" t="n"/>
      <c r="H17" s="4" t="n"/>
    </row>
    <row r="18" ht="20" customHeight="1">
      <c r="A18" s="4" t="n"/>
      <c r="B18" s="8" t="inlineStr">
        <is>
          <t>Срок действия</t>
        </is>
      </c>
      <c r="C18" s="9" t="n"/>
      <c r="D18" s="10" t="inlineStr">
        <is>
          <t>30 календарных дней</t>
        </is>
      </c>
      <c r="E18" s="9" t="n"/>
      <c r="F18" s="9" t="n"/>
      <c r="G18" s="9" t="n"/>
      <c r="H18" s="4" t="n"/>
    </row>
    <row r="19" ht="20" customHeight="1">
      <c r="A19" s="4" t="n"/>
      <c r="B19" s="11" t="inlineStr">
        <is>
          <t>НДС</t>
        </is>
      </c>
      <c r="C19" s="12" t="n"/>
      <c r="D19" s="13" t="inlineStr">
        <is>
          <t>Не облагается / по статусу исполнителя — уточняется в договоре</t>
        </is>
      </c>
      <c r="E19" s="12" t="n"/>
      <c r="F19" s="12" t="n"/>
      <c r="G19" s="12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 ht="12" customHeight="1">
      <c r="A21" s="4" t="n"/>
      <c r="B21" s="4" t="n"/>
      <c r="C21" s="4" t="n"/>
      <c r="D21" s="4" t="n"/>
      <c r="E21" s="4" t="n"/>
      <c r="F21" s="4" t="n"/>
      <c r="G21" s="4" t="n"/>
      <c r="H21" s="4" t="n"/>
    </row>
    <row r="22" ht="18" customHeight="1">
      <c r="A22" s="4" t="n"/>
      <c r="B22" s="14" t="inlineStr">
        <is>
          <t>ОСНОВНОЙ ОБЪЁМ</t>
        </is>
      </c>
      <c r="C22" s="15" t="n"/>
      <c r="D22" s="14" t="inlineStr">
        <is>
          <t>РЕКОМЕНДУЕМЫЕ</t>
        </is>
      </c>
      <c r="E22" s="15" t="n"/>
      <c r="F22" s="14" t="inlineStr">
        <is>
          <t>ИТОГО С РЕКОМЕНДАЦИЯМИ</t>
        </is>
      </c>
      <c r="G22" s="15" t="n"/>
      <c r="H22" s="4" t="n"/>
    </row>
    <row r="23" ht="28" customHeight="1">
      <c r="A23" s="4" t="n"/>
      <c r="B23" s="16" t="inlineStr">
        <is>
          <t>444 757 ₽</t>
        </is>
      </c>
      <c r="C23" s="15" t="n"/>
      <c r="D23" s="16" t="inlineStr">
        <is>
          <t>36 200 ₽</t>
        </is>
      </c>
      <c r="E23" s="15" t="n"/>
      <c r="F23" s="16" t="inlineStr">
        <is>
          <t>503 195 ₽</t>
        </is>
      </c>
      <c r="G23" s="15" t="n"/>
      <c r="H23" s="4" t="n"/>
    </row>
    <row r="24" ht="18" customHeight="1">
      <c r="A24" s="4" t="n"/>
      <c r="B24" s="17" t="inlineStr">
        <is>
          <t>разделы 1–7</t>
        </is>
      </c>
      <c r="C24" s="15" t="n"/>
      <c r="D24" s="17" t="inlineStr">
        <is>
          <t>раздел 8, по согласованию</t>
        </is>
      </c>
      <c r="E24" s="15" t="n"/>
      <c r="F24" s="17" t="inlineStr">
        <is>
          <t>работы, без материалов</t>
        </is>
      </c>
      <c r="G24" s="15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 ht="22" customHeight="1">
      <c r="A26" s="4" t="n"/>
      <c r="B26" s="18" t="inlineStr">
        <is>
          <t>Пятьсот три тысячи сто девяносто пять рублей 00 копеек</t>
        </is>
      </c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 ht="24" customHeight="1">
      <c r="A28" s="4" t="n"/>
      <c r="B28" s="19" t="inlineStr">
        <is>
          <t>Что делаем  ·  и чего не делаем</t>
        </is>
      </c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 ht="18" customHeight="1">
      <c r="A30" s="4" t="n"/>
      <c r="B30" s="20" t="inlineStr">
        <is>
          <t>ВХОДИТ В РАБОТЫ</t>
        </is>
      </c>
      <c r="C30" s="21" t="n"/>
      <c r="D30" s="21" t="n"/>
      <c r="E30" s="22" t="inlineStr">
        <is>
          <t>НЕ ВХОДИТ</t>
        </is>
      </c>
      <c r="F30" s="23" t="n"/>
      <c r="G30" s="23" t="n"/>
      <c r="H30" s="4" t="n"/>
    </row>
    <row r="31" ht="32" customHeight="1">
      <c r="A31" s="4" t="n"/>
      <c r="B31" s="24" t="inlineStr">
        <is>
          <t xml:space="preserve">  1.  Демонтаж унитаза и ежедневный временный унитаз на период проживания</t>
        </is>
      </c>
      <c r="C31" s="25" t="n"/>
      <c r="D31" s="25" t="n"/>
      <c r="E31" s="26" t="inlineStr">
        <is>
          <t xml:space="preserve">  1.  Демонтаж старой плитки — не закладывался</t>
        </is>
      </c>
      <c r="F31" s="27" t="n"/>
      <c r="G31" s="27" t="n"/>
      <c r="H31" s="4" t="n"/>
    </row>
    <row r="32" ht="32" customHeight="1">
      <c r="A32" s="4" t="n"/>
      <c r="B32" s="28" t="inlineStr">
        <is>
          <t xml:space="preserve">  2.  Вынос стиральной машины и чугунной ванны (узкий проём — резка при необходимости)</t>
        </is>
      </c>
      <c r="C32" s="29" t="n"/>
      <c r="D32" s="29" t="n"/>
      <c r="E32" s="24" t="inlineStr">
        <is>
          <t xml:space="preserve">  2.  Потолок: натяжной, реечный, покраска — не входит</t>
        </is>
      </c>
      <c r="F32" s="25" t="n"/>
      <c r="G32" s="25" t="n"/>
      <c r="H32" s="4" t="n"/>
    </row>
    <row r="33" ht="32" customHeight="1">
      <c r="A33" s="4" t="n"/>
      <c r="B33" s="24" t="inlineStr">
        <is>
          <t xml:space="preserve">  3.  Срезка старой внутриквартирной разводки воды; стояки не трогаем</t>
        </is>
      </c>
      <c r="C33" s="25" t="n"/>
      <c r="D33" s="25" t="n"/>
      <c r="E33" s="26" t="inlineStr">
        <is>
          <t xml:space="preserve">  3.  Стояки холодной и горячей воды — без замены и сварки</t>
        </is>
      </c>
      <c r="F33" s="27" t="n"/>
      <c r="G33" s="27" t="n"/>
      <c r="H33" s="4" t="n"/>
    </row>
    <row r="34" ht="32" customHeight="1">
      <c r="A34" s="4" t="n"/>
      <c r="B34" s="28" t="inlineStr">
        <is>
          <t xml:space="preserve">  4.  Коллекторы ХВС/ГВС, фильтры стандарт 10", редукторы давления</t>
        </is>
      </c>
      <c r="C34" s="29" t="n"/>
      <c r="D34" s="29" t="n"/>
      <c r="E34" s="24" t="inlineStr">
        <is>
          <t xml:space="preserve">  4.  Канализационный стояк — без замены; только отвод к инсталляции</t>
        </is>
      </c>
      <c r="F34" s="25" t="n"/>
      <c r="G34" s="25" t="n"/>
      <c r="H34" s="4" t="n"/>
    </row>
    <row r="35" ht="32" customHeight="1">
      <c r="A35" s="4" t="n"/>
      <c r="B35" s="24" t="inlineStr">
        <is>
          <t xml:space="preserve">  5.  Полипропилен на раковину, унитаз, стиральную машину и ванну + водорозетки</t>
        </is>
      </c>
      <c r="C35" s="25" t="n"/>
      <c r="D35" s="25" t="n"/>
      <c r="E35" s="26" t="inlineStr">
        <is>
          <t xml:space="preserve">  5.  Расширение дверных проёмов и новые двери — не входят</t>
        </is>
      </c>
      <c r="F35" s="27" t="n"/>
      <c r="G35" s="27" t="n"/>
      <c r="H35" s="4" t="n"/>
    </row>
    <row r="36" ht="32" customHeight="1">
      <c r="A36" s="4" t="n"/>
      <c r="B36" s="28" t="inlineStr">
        <is>
          <t xml:space="preserve">  6.  Инсталляция, переход с чугунного отвода на пластик без замены стояка</t>
        </is>
      </c>
      <c r="C36" s="29" t="n"/>
      <c r="D36" s="29" t="n"/>
      <c r="E36" s="24" t="inlineStr">
        <is>
          <t xml:space="preserve">  6.  Материалы, сантехника, плитка, доставка и подъём на этаж — отдельно</t>
        </is>
      </c>
      <c r="F36" s="25" t="n"/>
      <c r="G36" s="25" t="n"/>
      <c r="H36" s="4" t="n"/>
    </row>
    <row r="37" ht="32" customHeight="1">
      <c r="A37" s="4" t="n"/>
      <c r="B37" s="24" t="inlineStr">
        <is>
          <t xml:space="preserve">  7.  Гидроизоляция пола и стен до уровня ванны, усиленная зона душа</t>
        </is>
      </c>
      <c r="C37" s="25" t="n"/>
      <c r="D37" s="25" t="n"/>
      <c r="E37" s="26" t="inlineStr">
        <is>
          <t xml:space="preserve">  7.  Замена полотенцесушителя на стояке ГВС — не входит</t>
        </is>
      </c>
      <c r="F37" s="27" t="n"/>
      <c r="G37" s="27" t="n"/>
      <c r="H37" s="4" t="n"/>
    </row>
    <row r="38" ht="32" customHeight="1">
      <c r="A38" s="4" t="n"/>
      <c r="B38" s="28" t="inlineStr">
        <is>
          <t xml:space="preserve">  8.  Керамогранит на пол, плитка на стены, подбивка порогов и плитка под двери</t>
        </is>
      </c>
      <c r="C38" s="29" t="n"/>
      <c r="D38" s="29" t="n"/>
      <c r="E38" s="24" t="inlineStr">
        <is>
          <t xml:space="preserve">  8.  Тёплый пол электрический — не входит (можно добавить)</t>
        </is>
      </c>
      <c r="F38" s="25" t="n"/>
      <c r="G38" s="25" t="n"/>
      <c r="H38" s="4" t="n"/>
    </row>
    <row r="39" ht="32" customHeight="1">
      <c r="A39" s="4" t="n"/>
      <c r="B39" s="24" t="inlineStr">
        <is>
          <t xml:space="preserve">  9.  Подиум и установка тяжёлой ванны из наливного камня, смесители, душ, раковина, унитаз</t>
        </is>
      </c>
      <c r="C39" s="25" t="n"/>
      <c r="D39" s="25" t="n"/>
      <c r="E39" s="26" t="inlineStr">
        <is>
          <t xml:space="preserve">  9.  Дизайн-проект и согласование перепланировки — не входят</t>
        </is>
      </c>
      <c r="F39" s="27" t="n"/>
      <c r="G39" s="27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 ht="8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</row>
    <row r="42" ht="28" customHeight="1">
      <c r="A42" s="4" t="n"/>
      <c r="B42" s="31" t="inlineStr">
        <is>
          <t>Расценки — рынок Санкт-Петербурга, 2026, работы в стеснённых санузлах сантехкабины. Итог уточняется после замера. Смета не оферта.</t>
        </is>
      </c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32" t="inlineStr">
        <is>
          <t>Заказчик ______________________</t>
        </is>
      </c>
      <c r="D44" s="4" t="n"/>
      <c r="E44" s="32" t="inlineStr">
        <is>
          <t>Исполнитель ______________________</t>
        </is>
      </c>
      <c r="H44" s="4" t="n"/>
    </row>
    <row r="45">
      <c r="A45" s="4" t="n"/>
      <c r="B45" s="33" t="inlineStr">
        <is>
          <t>подпись / расшифровка</t>
        </is>
      </c>
      <c r="D45" s="4" t="n"/>
      <c r="E45" s="33" t="inlineStr">
        <is>
          <t>подпись / расшифровка</t>
        </is>
      </c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</sheetData>
  <mergeCells count="60">
    <mergeCell ref="B2:G2"/>
    <mergeCell ref="D18:G18"/>
    <mergeCell ref="B16:C16"/>
    <mergeCell ref="B42:G42"/>
    <mergeCell ref="D12:G12"/>
    <mergeCell ref="E31:G31"/>
    <mergeCell ref="B8:G8"/>
    <mergeCell ref="B22:C22"/>
    <mergeCell ref="E34:G34"/>
    <mergeCell ref="D15:G15"/>
    <mergeCell ref="D22:E22"/>
    <mergeCell ref="E30:G30"/>
    <mergeCell ref="B18:C18"/>
    <mergeCell ref="B38:D38"/>
    <mergeCell ref="D14:G14"/>
    <mergeCell ref="B34:D34"/>
    <mergeCell ref="B12:C12"/>
    <mergeCell ref="F24:G24"/>
    <mergeCell ref="B28:G28"/>
    <mergeCell ref="E36:G36"/>
    <mergeCell ref="B11:C11"/>
    <mergeCell ref="B37:D37"/>
    <mergeCell ref="E45:G45"/>
    <mergeCell ref="B23:C23"/>
    <mergeCell ref="B14:C14"/>
    <mergeCell ref="D19:G19"/>
    <mergeCell ref="B30:D30"/>
    <mergeCell ref="B17:C17"/>
    <mergeCell ref="D10:G10"/>
    <mergeCell ref="B6:G6"/>
    <mergeCell ref="B13:C13"/>
    <mergeCell ref="E32:G32"/>
    <mergeCell ref="B33:D33"/>
    <mergeCell ref="B44:C44"/>
    <mergeCell ref="B36:D36"/>
    <mergeCell ref="B19:C19"/>
    <mergeCell ref="E37:G37"/>
    <mergeCell ref="B32:D32"/>
    <mergeCell ref="B10:C10"/>
    <mergeCell ref="F23:G23"/>
    <mergeCell ref="B35:D35"/>
    <mergeCell ref="F22:G22"/>
    <mergeCell ref="B26:G26"/>
    <mergeCell ref="D11:G11"/>
    <mergeCell ref="D13:G13"/>
    <mergeCell ref="B7:G7"/>
    <mergeCell ref="B24:C24"/>
    <mergeCell ref="D17:G17"/>
    <mergeCell ref="B15:C15"/>
    <mergeCell ref="D24:E24"/>
    <mergeCell ref="B31:D31"/>
    <mergeCell ref="E33:G33"/>
    <mergeCell ref="E39:G39"/>
    <mergeCell ref="D16:G16"/>
    <mergeCell ref="D23:E23"/>
    <mergeCell ref="B45:C45"/>
    <mergeCell ref="E35:G35"/>
    <mergeCell ref="E44:G44"/>
    <mergeCell ref="B39:D39"/>
    <mergeCell ref="E38:G38"/>
  </mergeCells>
  <printOptions horizontalCentered="1"/>
  <pageMargins left="0.5" right="0.5" top="0.7" bottom="0.7" header="0.3" footer="0.3"/>
  <pageSetup orientation="portrait" paperSize="9" fitToHeight="1" fitToWidth="1"/>
  <headerFooter>
    <oddHeader>&amp;L&amp;K1B365DСмета на работы · ЛГ-137&amp;R&amp;K5C6670только работы</oddHeader>
    <oddFooter>&amp;L&amp;K5C6670Титульный лист&amp;C&amp;K5C6670стр. &amp;P из &amp;N&amp;R&amp;K5C6670не является публичной офертой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D5A80"/>
    <outlinePr summaryBelow="1" summaryRight="1"/>
    <pageSetUpPr fitToPage="1"/>
  </sheetPr>
  <dimension ref="A1:H39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62" customWidth="1" min="3" max="3"/>
    <col width="16" customWidth="1" min="4" max="4"/>
    <col width="14" customWidth="1" min="5" max="5"/>
    <col width="18" customWidth="1" min="6" max="6"/>
    <col width="18" customWidth="1" min="7" max="7"/>
    <col width="4" customWidth="1" min="8" max="8"/>
  </cols>
  <sheetData>
    <row r="1" ht="26" customHeight="1">
      <c r="A1" s="30" t="n"/>
      <c r="B1" s="34" t="inlineStr">
        <is>
          <t>СВОДКА ПО РАЗДЕЛАМ</t>
        </is>
      </c>
      <c r="H1" s="30" t="n"/>
    </row>
    <row r="2" ht="5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18" customHeight="1">
      <c r="A3" s="4" t="n"/>
      <c r="B3" s="35" t="inlineStr">
        <is>
          <t>Суммы связаны формулами с листом «Смета». Меняете количество или цену там — сводка обновляется.</t>
        </is>
      </c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20" customHeight="1">
      <c r="A5" s="4" t="n"/>
      <c r="B5" s="36" t="inlineStr">
        <is>
          <t>№</t>
        </is>
      </c>
      <c r="C5" s="36" t="inlineStr">
        <is>
          <t>Раздел</t>
        </is>
      </c>
      <c r="D5" s="36" t="inlineStr">
        <is>
          <t>Сумма, ₽</t>
        </is>
      </c>
      <c r="E5" s="36" t="inlineStr">
        <is>
          <t>Доля основного</t>
        </is>
      </c>
      <c r="F5" s="36" t="inlineStr">
        <is>
          <t>Статус</t>
        </is>
      </c>
      <c r="G5" s="4" t="n"/>
      <c r="H5" s="4" t="n"/>
    </row>
    <row r="6" ht="22" customHeight="1">
      <c r="A6" s="4" t="n"/>
      <c r="B6" s="37" t="inlineStr">
        <is>
          <t>1</t>
        </is>
      </c>
      <c r="C6" s="10" t="inlineStr">
        <is>
          <t>Организация работ в жилой квартире</t>
        </is>
      </c>
      <c r="D6" s="38">
        <f>Смета!F14</f>
        <v/>
      </c>
      <c r="E6" s="39">
        <f>IF(Смета!F112=0,0,Смета!F14/Смета!F112)</f>
        <v/>
      </c>
      <c r="F6" s="40" t="inlineStr">
        <is>
          <t>входит в задание</t>
        </is>
      </c>
      <c r="G6" s="4" t="n"/>
      <c r="H6" s="4" t="n"/>
    </row>
    <row r="7" ht="22" customHeight="1">
      <c r="A7" s="4" t="n"/>
      <c r="B7" s="41" t="inlineStr">
        <is>
          <t>2</t>
        </is>
      </c>
      <c r="C7" s="42" t="inlineStr">
        <is>
          <t>Демонтаж и вынос (без сбивки плитки)</t>
        </is>
      </c>
      <c r="D7" s="43">
        <f>Смета!F28</f>
        <v/>
      </c>
      <c r="E7" s="44">
        <f>IF(Смета!F112=0,0,Смета!F28/Смета!F112)</f>
        <v/>
      </c>
      <c r="F7" s="45" t="inlineStr">
        <is>
          <t>входит в задание</t>
        </is>
      </c>
      <c r="G7" s="4" t="n"/>
      <c r="H7" s="4" t="n"/>
    </row>
    <row r="8" ht="22" customHeight="1">
      <c r="A8" s="4" t="n"/>
      <c r="B8" s="37" t="inlineStr">
        <is>
          <t>3</t>
        </is>
      </c>
      <c r="C8" s="10" t="inlineStr">
        <is>
          <t>Водоснабжение: коллекторы, фильтры 10", редукторы, полипропилен, водорозетки</t>
        </is>
      </c>
      <c r="D8" s="38">
        <f>Смета!F43</f>
        <v/>
      </c>
      <c r="E8" s="39">
        <f>IF(Смета!F112=0,0,Смета!F43/Смета!F112)</f>
        <v/>
      </c>
      <c r="F8" s="40" t="inlineStr">
        <is>
          <t>входит в задание</t>
        </is>
      </c>
      <c r="G8" s="4" t="n"/>
      <c r="H8" s="4" t="n"/>
    </row>
    <row r="9" ht="22" customHeight="1">
      <c r="A9" s="4" t="n"/>
      <c r="B9" s="41" t="inlineStr">
        <is>
          <t>4</t>
        </is>
      </c>
      <c r="C9" s="42" t="inlineStr">
        <is>
          <t>Канализация (без стояка) и инсталляция</t>
        </is>
      </c>
      <c r="D9" s="43">
        <f>Смета!F55</f>
        <v/>
      </c>
      <c r="E9" s="44">
        <f>IF(Смета!F112=0,0,Смета!F55/Смета!F112)</f>
        <v/>
      </c>
      <c r="F9" s="45" t="inlineStr">
        <is>
          <t>входит в задание</t>
        </is>
      </c>
      <c r="G9" s="4" t="n"/>
      <c r="H9" s="4" t="n"/>
    </row>
    <row r="10" ht="22" customHeight="1">
      <c r="A10" s="4" t="n"/>
      <c r="B10" s="37" t="inlineStr">
        <is>
          <t>5</t>
        </is>
      </c>
      <c r="C10" s="10" t="inlineStr">
        <is>
          <t>Подготовка оснований и гидроизоляция</t>
        </is>
      </c>
      <c r="D10" s="38">
        <f>Смета!F66</f>
        <v/>
      </c>
      <c r="E10" s="39">
        <f>IF(Смета!F112=0,0,Смета!F66/Смета!F112)</f>
        <v/>
      </c>
      <c r="F10" s="40" t="inlineStr">
        <is>
          <t>входит в задание</t>
        </is>
      </c>
      <c r="G10" s="4" t="n"/>
      <c r="H10" s="4" t="n"/>
    </row>
    <row r="11" ht="22" customHeight="1">
      <c r="A11" s="4" t="n"/>
      <c r="B11" s="41" t="inlineStr">
        <is>
          <t>6</t>
        </is>
      </c>
      <c r="C11" s="42" t="inlineStr">
        <is>
          <t>Пороги и облицовка (керамогранит / плитка)</t>
        </is>
      </c>
      <c r="D11" s="43">
        <f>Смета!F82</f>
        <v/>
      </c>
      <c r="E11" s="44">
        <f>IF(Смета!F112=0,0,Смета!F82/Смета!F112)</f>
        <v/>
      </c>
      <c r="F11" s="45" t="inlineStr">
        <is>
          <t>входит в задание</t>
        </is>
      </c>
      <c r="G11" s="4" t="n"/>
      <c r="H11" s="4" t="n"/>
    </row>
    <row r="12" ht="22" customHeight="1">
      <c r="A12" s="4" t="n"/>
      <c r="B12" s="37" t="inlineStr">
        <is>
          <t>7</t>
        </is>
      </c>
      <c r="C12" s="10" t="inlineStr">
        <is>
          <t>Установка оборудования: ванна из наливного камня, смесители, душ, раковина, унитаз</t>
        </is>
      </c>
      <c r="D12" s="38">
        <f>Смета!F97</f>
        <v/>
      </c>
      <c r="E12" s="39">
        <f>IF(Смета!F112=0,0,Смета!F97/Смета!F112)</f>
        <v/>
      </c>
      <c r="F12" s="40" t="inlineStr">
        <is>
          <t>входит в задание</t>
        </is>
      </c>
      <c r="G12" s="4" t="n"/>
      <c r="H12" s="4" t="n"/>
    </row>
    <row r="13" ht="22" customHeight="1">
      <c r="A13" s="4" t="n"/>
      <c r="B13" s="46" t="inlineStr">
        <is>
          <t>8</t>
        </is>
      </c>
      <c r="C13" s="47" t="inlineStr">
        <is>
          <t>Рекомендуемые работы (для законченного результата)</t>
        </is>
      </c>
      <c r="D13" s="48">
        <f>Смета!F109</f>
        <v/>
      </c>
      <c r="E13" s="49" t="inlineStr">
        <is>
          <t>—</t>
        </is>
      </c>
      <c r="F13" s="49" t="inlineStr">
        <is>
          <t>по согласованию</t>
        </is>
      </c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 ht="24" customHeight="1">
      <c r="A15" s="4" t="n"/>
      <c r="B15" s="50" t="inlineStr">
        <is>
          <t>Итого по заданию (1–7)</t>
        </is>
      </c>
      <c r="C15" s="51" t="n"/>
      <c r="D15" s="52">
        <f>Смета!F112</f>
        <v/>
      </c>
      <c r="E15" s="51" t="n"/>
      <c r="F15" s="51" t="n"/>
      <c r="G15" s="4" t="n"/>
      <c r="H15" s="4" t="n"/>
    </row>
    <row r="16" ht="24" customHeight="1">
      <c r="A16" s="4" t="n"/>
      <c r="B16" s="53" t="inlineStr">
        <is>
          <t>Резерв 5%</t>
        </is>
      </c>
      <c r="C16" s="54" t="n"/>
      <c r="D16" s="55">
        <f>Смета!F113</f>
        <v/>
      </c>
      <c r="E16" s="54" t="n"/>
      <c r="F16" s="54" t="n"/>
      <c r="G16" s="4" t="n"/>
      <c r="H16" s="4" t="n"/>
    </row>
    <row r="17" ht="24" customHeight="1">
      <c r="A17" s="4" t="n"/>
      <c r="B17" s="56" t="inlineStr">
        <is>
          <t>Рекомендуемые (8)</t>
        </is>
      </c>
      <c r="C17" s="57" t="n"/>
      <c r="D17" s="58">
        <f>Смета!F114</f>
        <v/>
      </c>
      <c r="E17" s="57" t="n"/>
      <c r="F17" s="57" t="n"/>
      <c r="G17" s="4" t="n"/>
      <c r="H17" s="4" t="n"/>
    </row>
    <row r="18" ht="40" customHeight="1">
      <c r="A18" s="4" t="n"/>
      <c r="B18" s="59" t="inlineStr">
        <is>
          <t>Ориентир срока: 18 рабочих дней. На время работ унитаз ставится каждый вечер. Чугунную ванну из проёма 57 см обычно выносят частями. Новую ванну из наливного камня заносят 3–4 человека, при необходимости — через окно.</t>
        </is>
      </c>
      <c r="C18" s="27" t="n"/>
      <c r="D18" s="27" t="n"/>
      <c r="E18" s="27" t="n"/>
      <c r="F18" s="27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</sheetData>
  <mergeCells count="7">
    <mergeCell ref="B3:G3"/>
    <mergeCell ref="B16:C16"/>
    <mergeCell ref="B15:C15"/>
    <mergeCell ref="B1:G1"/>
    <mergeCell ref="B17:C17"/>
    <mergeCell ref="B18:C18"/>
    <mergeCell ref="B18:F18"/>
  </mergeCells>
  <printOptions horizontalCentered="1"/>
  <pageMargins left="0.5" right="0.5" top="0.7" bottom="0.7" header="0.3" footer="0.3"/>
  <pageSetup orientation="landscape" paperSize="9" fitToHeight="1" fitToWidth="1"/>
  <headerFooter>
    <oddHeader>&amp;L&amp;K1B365DСмета на работы · ЛГ-137&amp;R&amp;K5C6670только работы</oddHeader>
    <oddFooter>&amp;L&amp;K5C6670Сводка&amp;C&amp;K5C6670стр. &amp;P из &amp;N&amp;R&amp;K5C6670не является публичной офертой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G118"/>
  <sheetViews>
    <sheetView showGridLines="0" view="normal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0" customWidth="1" min="3" max="3"/>
    <col width="12" customWidth="1" min="4" max="4"/>
    <col width="14" customWidth="1" min="5" max="5"/>
    <col width="16" customWidth="1" min="6" max="6"/>
    <col width="42" customWidth="1" min="7" max="7"/>
  </cols>
  <sheetData>
    <row r="1" ht="26" customHeight="1">
      <c r="A1" s="34" t="inlineStr">
        <is>
          <t>ЛОКАЛЬНАЯ СМЕТА НА РАБОТЫ</t>
        </is>
      </c>
    </row>
    <row r="2" ht="16" customHeight="1">
      <c r="A2" s="60" t="inlineStr">
        <is>
          <t>Ванная и туалет · дом серии ЛГ-137 · проживание на объекте · потолок и стояки не входят · плитку не сбиваем</t>
        </is>
      </c>
    </row>
    <row r="3" ht="16" customHeight="1">
      <c r="A3" s="61" t="inlineStr">
        <is>
          <t>Колонки D и E можно править — сумма в F пересчитается. Раздел 8 не входит в основной итог, пока его не включат в договор.</t>
        </is>
      </c>
    </row>
    <row r="4" ht="5" customHeight="1">
      <c r="A4" s="3" t="n"/>
      <c r="B4" s="3" t="n"/>
      <c r="C4" s="3" t="n"/>
      <c r="D4" s="3" t="n"/>
      <c r="E4" s="3" t="n"/>
      <c r="F4" s="3" t="n"/>
      <c r="G4" s="3" t="n"/>
    </row>
    <row r="5" ht="32" customHeight="1">
      <c r="A5" s="62" t="inlineStr">
        <is>
          <t>Исходные объёмы: ванна 1.70×1.50 м (2.55 м²), туалет 1.20×0.82 м (0.98 м²), высота 2.55 м. Стены под плитку: ванна 15.19 м², туалет+короб 10.67 м². Расчёт — лист «Объёмы».</t>
        </is>
      </c>
      <c r="B5" s="27" t="n"/>
      <c r="C5" s="27" t="n"/>
      <c r="D5" s="27" t="n"/>
      <c r="E5" s="27" t="n"/>
      <c r="F5" s="27" t="n"/>
      <c r="G5" s="27" t="n"/>
    </row>
    <row r="7" ht="22" customHeight="1">
      <c r="A7" s="36" t="inlineStr">
        <is>
          <t>№</t>
        </is>
      </c>
      <c r="B7" s="36" t="inlineStr">
        <is>
          <t>Наименование работ</t>
        </is>
      </c>
      <c r="C7" s="36" t="inlineStr">
        <is>
          <t>Ед.</t>
        </is>
      </c>
      <c r="D7" s="36" t="inlineStr">
        <is>
          <t>Кол-во</t>
        </is>
      </c>
      <c r="E7" s="36" t="inlineStr">
        <is>
          <t>Цена, ₽</t>
        </is>
      </c>
      <c r="F7" s="36" t="inlineStr">
        <is>
          <t>Сумма, ₽</t>
        </is>
      </c>
      <c r="G7" s="36" t="inlineStr">
        <is>
          <t>Примечание</t>
        </is>
      </c>
    </row>
    <row r="8" ht="22" customHeight="1">
      <c r="A8" s="63" t="inlineStr">
        <is>
          <t xml:space="preserve">  РАЗДЕЛ 1.  ОРГАНИЗАЦИЯ РАБОТ В ЖИЛОЙ КВАРТИРЕ</t>
        </is>
      </c>
      <c r="B8" s="30" t="n"/>
      <c r="C8" s="30" t="n"/>
      <c r="D8" s="30" t="n"/>
      <c r="E8" s="30" t="n"/>
      <c r="F8" s="30" t="n"/>
      <c r="G8" s="30" t="n"/>
    </row>
    <row r="9" ht="28" customHeight="1">
      <c r="A9" s="64" t="inlineStr">
        <is>
          <t>Квартира остаётся жилой. Унитаз каждое утро снимается для производства работ и каждый вечер ставится обратно.</t>
        </is>
      </c>
      <c r="B9" s="29" t="n"/>
      <c r="C9" s="29" t="n"/>
      <c r="D9" s="29" t="n"/>
      <c r="E9" s="29" t="n"/>
      <c r="F9" s="29" t="n"/>
      <c r="G9" s="29" t="n"/>
    </row>
    <row r="10" ht="32" customHeight="1">
      <c r="A10" s="65" t="inlineStr">
        <is>
          <t>1.1</t>
        </is>
      </c>
      <c r="B10" s="10" t="inlineStr">
        <is>
          <t>Защита коридора, дверей и чистых помещений (плёнка, картон, малярная лента)</t>
        </is>
      </c>
      <c r="C10" s="40" t="inlineStr">
        <is>
          <t>компл.</t>
        </is>
      </c>
      <c r="D10" s="66" t="n">
        <v>1</v>
      </c>
      <c r="E10" s="38" t="n">
        <v>4500</v>
      </c>
      <c r="F10" s="38">
        <f>ROUND(D10*E10,0)</f>
        <v/>
      </c>
      <c r="G10" s="10" t="inlineStr">
        <is>
          <t>На весь период ремонта</t>
        </is>
      </c>
    </row>
    <row r="11" ht="32" customHeight="1">
      <c r="A11" s="67" t="inlineStr">
        <is>
          <t>1.2</t>
        </is>
      </c>
      <c r="B11" s="42" t="inlineStr">
        <is>
          <t>Организация рабочего места и ежедневная уборка зоны работ</t>
        </is>
      </c>
      <c r="C11" s="45" t="inlineStr">
        <is>
          <t>смена</t>
        </is>
      </c>
      <c r="D11" s="68" t="n">
        <v>18</v>
      </c>
      <c r="E11" s="43" t="n">
        <v>500</v>
      </c>
      <c r="F11" s="43">
        <f>ROUND(D11*E11,0)</f>
        <v/>
      </c>
      <c r="G11" s="42" t="inlineStr">
        <is>
          <t>18 рабочих дней</t>
        </is>
      </c>
    </row>
    <row r="12" ht="32" customHeight="1">
      <c r="A12" s="65" t="inlineStr">
        <is>
          <t>1.3</t>
        </is>
      </c>
      <c r="B12" s="10" t="inlineStr">
        <is>
          <t>Временный унитаз: монтаж вечером и демонтаж утром (проживание на объекте)</t>
        </is>
      </c>
      <c r="C12" s="40" t="inlineStr">
        <is>
          <t>цикл</t>
        </is>
      </c>
      <c r="D12" s="66" t="n">
        <v>18</v>
      </c>
      <c r="E12" s="38" t="n">
        <v>1300</v>
      </c>
      <c r="F12" s="38">
        <f>ROUND(D12*E12,0)</f>
        <v/>
      </c>
      <c r="G12" s="10" t="inlineStr">
        <is>
          <t>Цикл = вечер + утро. Унитаз заказчика или технический</t>
        </is>
      </c>
    </row>
    <row r="13" ht="32" customHeight="1">
      <c r="A13" s="67" t="inlineStr">
        <is>
          <t>1.4</t>
        </is>
      </c>
      <c r="B13" s="42" t="inlineStr">
        <is>
          <t>Перекрытие внутриквартирных отводов, организация временного водоснабжения</t>
        </is>
      </c>
      <c r="C13" s="45" t="inlineStr">
        <is>
          <t>компл.</t>
        </is>
      </c>
      <c r="D13" s="68" t="n">
        <v>1</v>
      </c>
      <c r="E13" s="43" t="n">
        <v>2000</v>
      </c>
      <c r="F13" s="43">
        <f>ROUND(D13*E13,0)</f>
        <v/>
      </c>
      <c r="G13" s="42" t="inlineStr">
        <is>
          <t>Стояки ХВС / ГВС не отключаем без необходимости</t>
        </is>
      </c>
    </row>
    <row r="14" ht="22" customHeight="1">
      <c r="A14" s="69" t="inlineStr">
        <is>
          <t>Итого по разделу 1</t>
        </is>
      </c>
      <c r="B14" s="70" t="n"/>
      <c r="C14" s="70" t="n"/>
      <c r="D14" s="70" t="n"/>
      <c r="E14" s="70" t="n"/>
      <c r="F14" s="71">
        <f>SUM(F10:F13)</f>
        <v/>
      </c>
      <c r="G14" s="70" t="n"/>
    </row>
    <row r="15" ht="10" customHeight="1">
      <c r="A15" s="4" t="n"/>
      <c r="B15" s="4" t="n"/>
      <c r="C15" s="4" t="n"/>
      <c r="D15" s="4" t="n"/>
      <c r="E15" s="4" t="n"/>
      <c r="F15" s="4" t="n"/>
      <c r="G15" s="4" t="n"/>
    </row>
    <row r="16" ht="22" customHeight="1">
      <c r="A16" s="63" t="inlineStr">
        <is>
          <t xml:space="preserve">  РАЗДЕЛ 2.  ДЕМОНТАЖ И ВЫНОС (БЕЗ СБИВКИ ПЛИТКИ)</t>
        </is>
      </c>
      <c r="B16" s="30" t="n"/>
      <c r="C16" s="30" t="n"/>
      <c r="D16" s="30" t="n"/>
      <c r="E16" s="30" t="n"/>
      <c r="F16" s="30" t="n"/>
      <c r="G16" s="30" t="n"/>
    </row>
    <row r="17" ht="28" customHeight="1">
      <c r="A17" s="64" t="inlineStr">
        <is>
          <t>Демонтаж плитки не выполняется. Потолок не затрагивается. Стояки воды и канализации сохраняются.</t>
        </is>
      </c>
      <c r="B17" s="29" t="n"/>
      <c r="C17" s="29" t="n"/>
      <c r="D17" s="29" t="n"/>
      <c r="E17" s="29" t="n"/>
      <c r="F17" s="29" t="n"/>
      <c r="G17" s="29" t="n"/>
    </row>
    <row r="18" ht="32" customHeight="1">
      <c r="A18" s="65" t="inlineStr">
        <is>
          <t>2.1</t>
        </is>
      </c>
      <c r="B18" s="10" t="inlineStr">
        <is>
          <t>Демонтаж унитаза с сохранением выпуска канализации</t>
        </is>
      </c>
      <c r="C18" s="40" t="inlineStr">
        <is>
          <t>шт.</t>
        </is>
      </c>
      <c r="D18" s="66" t="n">
        <v>1</v>
      </c>
      <c r="E18" s="38" t="n">
        <v>2800</v>
      </c>
      <c r="F18" s="38">
        <f>ROUND(D18*E18,0)</f>
        <v/>
      </c>
      <c r="G18" s="10" t="inlineStr">
        <is>
          <t>Аккуратно: чугунный раструб стояка не ломаем</t>
        </is>
      </c>
    </row>
    <row r="19" ht="32" customHeight="1">
      <c r="A19" s="67" t="inlineStr">
        <is>
          <t>2.2</t>
        </is>
      </c>
      <c r="B19" s="42" t="inlineStr">
        <is>
          <t>Демонтаж раковины, смесителей, полок и навесных аксессуаров</t>
        </is>
      </c>
      <c r="C19" s="45" t="inlineStr">
        <is>
          <t>компл.</t>
        </is>
      </c>
      <c r="D19" s="68" t="n">
        <v>1</v>
      </c>
      <c r="E19" s="43" t="n">
        <v>2200</v>
      </c>
      <c r="F19" s="43">
        <f>ROUND(D19*E19,0)</f>
        <v/>
      </c>
      <c r="G19" s="42" t="inlineStr"/>
    </row>
    <row r="20" ht="32" customHeight="1">
      <c r="A20" s="65" t="inlineStr">
        <is>
          <t>2.3</t>
        </is>
      </c>
      <c r="B20" s="10" t="inlineStr">
        <is>
          <t>Отключение и вынос стиральной машины из помещения</t>
        </is>
      </c>
      <c r="C20" s="40" t="inlineStr">
        <is>
          <t>шт.</t>
        </is>
      </c>
      <c r="D20" s="66" t="n">
        <v>1</v>
      </c>
      <c r="E20" s="38" t="n">
        <v>2500</v>
      </c>
      <c r="F20" s="38">
        <f>ROUND(D20*E20,0)</f>
        <v/>
      </c>
      <c r="G20" s="10" t="inlineStr">
        <is>
          <t>Обратная установка — раздел 7</t>
        </is>
      </c>
    </row>
    <row r="21" ht="32" customHeight="1">
      <c r="A21" s="67" t="inlineStr">
        <is>
          <t>2.4</t>
        </is>
      </c>
      <c r="B21" s="42" t="inlineStr">
        <is>
          <t>Демонтаж чугунной ванны (узкий проём 57 см, резка чаши при необходимости)</t>
        </is>
      </c>
      <c r="C21" s="45" t="inlineStr">
        <is>
          <t>шт.</t>
        </is>
      </c>
      <c r="D21" s="68" t="n">
        <v>1</v>
      </c>
      <c r="E21" s="43" t="n">
        <v>9000</v>
      </c>
      <c r="F21" s="43">
        <f>ROUND(D21*E21,0)</f>
        <v/>
      </c>
      <c r="G21" s="42" t="inlineStr">
        <is>
          <t>Типично для ЛГ-137: ванна шире дверного проёма</t>
        </is>
      </c>
    </row>
    <row r="22" ht="32" customHeight="1">
      <c r="A22" s="65" t="inlineStr">
        <is>
          <t>2.5</t>
        </is>
      </c>
      <c r="B22" s="10" t="inlineStr">
        <is>
          <t>Спуск и вынос чугунной ванны / частей из квартиры</t>
        </is>
      </c>
      <c r="C22" s="40" t="inlineStr">
        <is>
          <t>шт.</t>
        </is>
      </c>
      <c r="D22" s="66" t="n">
        <v>1</v>
      </c>
      <c r="E22" s="38" t="n">
        <v>7000</v>
      </c>
      <c r="F22" s="38">
        <f>ROUND(D22*E22,0)</f>
        <v/>
      </c>
      <c r="G22" s="10" t="inlineStr">
        <is>
          <t>Лифт + вынос на контейнер / к машине заказчика</t>
        </is>
      </c>
    </row>
    <row r="23" ht="32" customHeight="1">
      <c r="A23" s="67" t="inlineStr">
        <is>
          <t>2.6</t>
        </is>
      </c>
      <c r="B23" s="42" t="inlineStr">
        <is>
          <t>Срезка старых труб ХВС и ГВС внутриквартирной разводки</t>
        </is>
      </c>
      <c r="C23" s="45" t="inlineStr">
        <is>
          <t>компл.</t>
        </is>
      </c>
      <c r="D23" s="68" t="n">
        <v>1</v>
      </c>
      <c r="E23" s="43" t="n">
        <v>5000</v>
      </c>
      <c r="F23" s="43">
        <f>ROUND(D23*E23,0)</f>
        <v/>
      </c>
      <c r="G23" s="42" t="inlineStr">
        <is>
          <t>Стояки не трогаем, отводы сохраняем для врезки</t>
        </is>
      </c>
    </row>
    <row r="24" ht="32" customHeight="1">
      <c r="A24" s="65" t="inlineStr">
        <is>
          <t>2.7</t>
        </is>
      </c>
      <c r="B24" s="10" t="inlineStr">
        <is>
          <t>Демонтаж старых отводов канализации от ванны, раковины и стиральной машины</t>
        </is>
      </c>
      <c r="C24" s="40" t="inlineStr">
        <is>
          <t>компл.</t>
        </is>
      </c>
      <c r="D24" s="66" t="n">
        <v>1</v>
      </c>
      <c r="E24" s="38" t="n">
        <v>3500</v>
      </c>
      <c r="F24" s="38">
        <f>ROUND(D24*E24,0)</f>
        <v/>
      </c>
      <c r="G24" s="10" t="inlineStr">
        <is>
          <t>Канализационный стояк не меняем</t>
        </is>
      </c>
    </row>
    <row r="25" ht="32" customHeight="1">
      <c r="A25" s="67" t="inlineStr">
        <is>
          <t>2.8</t>
        </is>
      </c>
      <c r="B25" s="42" t="inlineStr">
        <is>
          <t>Извлечение деревянной закладной под унитаз и заделка полости</t>
        </is>
      </c>
      <c r="C25" s="45" t="inlineStr">
        <is>
          <t>шт.</t>
        </is>
      </c>
      <c r="D25" s="68" t="n">
        <v>1</v>
      </c>
      <c r="E25" s="43" t="n">
        <v>2800</v>
      </c>
      <c r="F25" s="43">
        <f>ROUND(D25*E25,0)</f>
        <v/>
      </c>
      <c r="G25" s="42" t="inlineStr">
        <is>
          <t>Типовой узел ЛГ-137, доска обычно прогнившая</t>
        </is>
      </c>
    </row>
    <row r="26" ht="32" customHeight="1">
      <c r="A26" s="65" t="inlineStr">
        <is>
          <t>2.9</t>
        </is>
      </c>
      <c r="B26" s="10" t="inlineStr">
        <is>
          <t>Подготовка плинтусов и примыканий у порогов (без работ по стоякам)</t>
        </is>
      </c>
      <c r="C26" s="40" t="inlineStr">
        <is>
          <t>компл.</t>
        </is>
      </c>
      <c r="D26" s="66" t="n">
        <v>1</v>
      </c>
      <c r="E26" s="38" t="n">
        <v>2500</v>
      </c>
      <c r="F26" s="38">
        <f>ROUND(D26*E26,0)</f>
        <v/>
      </c>
      <c r="G26" s="10" t="inlineStr"/>
    </row>
    <row r="27" ht="32" customHeight="1">
      <c r="A27" s="67" t="inlineStr">
        <is>
          <t>2.10</t>
        </is>
      </c>
      <c r="B27" s="42" t="inlineStr">
        <is>
          <t>Сбор, мешкование, спуск и вынос строительного мусора</t>
        </is>
      </c>
      <c r="C27" s="45" t="inlineStr">
        <is>
          <t>компл.</t>
        </is>
      </c>
      <c r="D27" s="68" t="n">
        <v>1</v>
      </c>
      <c r="E27" s="43" t="n">
        <v>9000</v>
      </c>
      <c r="F27" s="43">
        <f>ROUND(D27*E27,0)</f>
        <v/>
      </c>
      <c r="G27" s="42" t="inlineStr">
        <is>
          <t>Контейнер / утилизация — по факту, если требуется отдельно</t>
        </is>
      </c>
    </row>
    <row r="28" ht="22" customHeight="1">
      <c r="A28" s="69" t="inlineStr">
        <is>
          <t>Итого по разделу 2</t>
        </is>
      </c>
      <c r="B28" s="70" t="n"/>
      <c r="C28" s="70" t="n"/>
      <c r="D28" s="70" t="n"/>
      <c r="E28" s="70" t="n"/>
      <c r="F28" s="71">
        <f>SUM(F18:F27)</f>
        <v/>
      </c>
      <c r="G28" s="70" t="n"/>
    </row>
    <row r="29" ht="10" customHeight="1">
      <c r="A29" s="4" t="n"/>
      <c r="B29" s="4" t="n"/>
      <c r="C29" s="4" t="n"/>
      <c r="D29" s="4" t="n"/>
      <c r="E29" s="4" t="n"/>
      <c r="F29" s="4" t="n"/>
      <c r="G29" s="4" t="n"/>
    </row>
    <row r="30" ht="22" customHeight="1">
      <c r="A30" s="63" t="inlineStr">
        <is>
          <t xml:space="preserve">  РАЗДЕЛ 3.  ВОДОСНАБЖЕНИЕ: КОЛЛЕКТОРЫ, ФИЛЬТРЫ 10", РЕДУКТОРЫ, ПОЛИПРОПИЛЕН, ВОДОРОЗЕТКИ</t>
        </is>
      </c>
      <c r="B30" s="30" t="n"/>
      <c r="C30" s="30" t="n"/>
      <c r="D30" s="30" t="n"/>
      <c r="E30" s="30" t="n"/>
      <c r="F30" s="30" t="n"/>
      <c r="G30" s="30" t="n"/>
    </row>
    <row r="31" ht="28" customHeight="1">
      <c r="A31" s="64" t="inlineStr">
        <is>
          <t>Коллекторная схема. На ХВС и ГВС: фильтр стандарт 10" и редуктор давления. Стояки не перевариваются.</t>
        </is>
      </c>
      <c r="B31" s="29" t="n"/>
      <c r="C31" s="29" t="n"/>
      <c r="D31" s="29" t="n"/>
      <c r="E31" s="29" t="n"/>
      <c r="F31" s="29" t="n"/>
      <c r="G31" s="29" t="n"/>
    </row>
    <row r="32" ht="32" customHeight="1">
      <c r="A32" s="65" t="inlineStr">
        <is>
          <t>3.1</t>
        </is>
      </c>
      <c r="B32" s="10" t="inlineStr">
        <is>
          <t>Сборка коллекторного узла ХВС (коллектор, фильтр стандарт 10", редуктор, краны)</t>
        </is>
      </c>
      <c r="C32" s="40" t="inlineStr">
        <is>
          <t>компл.</t>
        </is>
      </c>
      <c r="D32" s="66" t="n">
        <v>1</v>
      </c>
      <c r="E32" s="38" t="n">
        <v>9500</v>
      </c>
      <c r="F32" s="38">
        <f>ROUND(D32*E32,0)</f>
        <v/>
      </c>
      <c r="G32" s="10" t="inlineStr">
        <is>
          <t>Материалы заказчика. Схема: кран → фильтр 10" → редуктор → коллектор</t>
        </is>
      </c>
    </row>
    <row r="33" ht="32" customHeight="1">
      <c r="A33" s="67" t="inlineStr">
        <is>
          <t>3.2</t>
        </is>
      </c>
      <c r="B33" s="42" t="inlineStr">
        <is>
          <t>Сборка коллекторного узла ГВС (коллектор, фильтр стандарт 10", редуктор, краны)</t>
        </is>
      </c>
      <c r="C33" s="45" t="inlineStr">
        <is>
          <t>компл.</t>
        </is>
      </c>
      <c r="D33" s="68" t="n">
        <v>1</v>
      </c>
      <c r="E33" s="43" t="n">
        <v>9500</v>
      </c>
      <c r="F33" s="43">
        <f>ROUND(D33*E33,0)</f>
        <v/>
      </c>
      <c r="G33" s="42" t="inlineStr">
        <is>
          <t>Аналогично ХВС</t>
        </is>
      </c>
    </row>
    <row r="34" ht="32" customHeight="1">
      <c r="A34" s="65" t="inlineStr">
        <is>
          <t>3.3</t>
        </is>
      </c>
      <c r="B34" s="10" t="inlineStr">
        <is>
          <t>Обвязка существующих отводов со стояков: краны, счётчики, обратные клапаны</t>
        </is>
      </c>
      <c r="C34" s="40" t="inlineStr">
        <is>
          <t>компл.</t>
        </is>
      </c>
      <c r="D34" s="66" t="n">
        <v>1</v>
      </c>
      <c r="E34" s="38" t="n">
        <v>6000</v>
      </c>
      <c r="F34" s="38">
        <f>ROUND(D34*E34,0)</f>
        <v/>
      </c>
      <c r="G34" s="10" t="inlineStr">
        <is>
          <t>Стояки и полотенцесушитель на стояке не меняем</t>
        </is>
      </c>
    </row>
    <row r="35" ht="32" customHeight="1">
      <c r="A35" s="67" t="inlineStr">
        <is>
          <t>3.4</t>
        </is>
      </c>
      <c r="B35" s="42" t="inlineStr">
        <is>
          <t>Монтаж ревизионного шкафа / люка доступа к коллекторам и фильтрам</t>
        </is>
      </c>
      <c r="C35" s="45" t="inlineStr">
        <is>
          <t>шт.</t>
        </is>
      </c>
      <c r="D35" s="68" t="n">
        <v>1</v>
      </c>
      <c r="E35" s="43" t="n">
        <v>4000</v>
      </c>
      <c r="F35" s="43">
        <f>ROUND(D35*E35,0)</f>
        <v/>
      </c>
      <c r="G35" s="42" t="inlineStr">
        <is>
          <t>Смена картриджей 10" без разбора короба</t>
        </is>
      </c>
    </row>
    <row r="36" ht="32" customHeight="1">
      <c r="A36" s="65" t="inlineStr">
        <is>
          <t>3.5</t>
        </is>
      </c>
      <c r="B36" s="10" t="inlineStr">
        <is>
          <t>Прокладка труб полипропилен ХВС/ГВС до раковины, унитаза, стиральной машины и ванны</t>
        </is>
      </c>
      <c r="C36" s="40" t="inlineStr">
        <is>
          <t>м.п.</t>
        </is>
      </c>
      <c r="D36" s="66" t="n">
        <v>32</v>
      </c>
      <c r="E36" s="38" t="n">
        <v>850</v>
      </c>
      <c r="F36" s="38">
        <f>ROUND(D36*E36,0)</f>
        <v/>
      </c>
      <c r="G36" s="10" t="inlineStr">
        <is>
          <t>Скрыто / в коробе. Пайка, крепление, теплоизоляция ГВС</t>
        </is>
      </c>
    </row>
    <row r="37" ht="32" customHeight="1">
      <c r="A37" s="67" t="inlineStr">
        <is>
          <t>3.6</t>
        </is>
      </c>
      <c r="B37" s="42" t="inlineStr">
        <is>
          <t>Водорозетки под смеситель ванны (холодная + горячая), вывод в плоскость плитки</t>
        </is>
      </c>
      <c r="C37" s="45" t="inlineStr">
        <is>
          <t>компл.</t>
        </is>
      </c>
      <c r="D37" s="68" t="n">
        <v>1</v>
      </c>
      <c r="E37" s="43" t="n">
        <v>4200</v>
      </c>
      <c r="F37" s="43">
        <f>ROUND(D37*E37,0)</f>
        <v/>
      </c>
      <c r="G37" s="42" t="inlineStr">
        <is>
          <t>2 точки, жёсткая фиксация</t>
        </is>
      </c>
    </row>
    <row r="38" ht="32" customHeight="1">
      <c r="A38" s="65" t="inlineStr">
        <is>
          <t>3.7</t>
        </is>
      </c>
      <c r="B38" s="10" t="inlineStr">
        <is>
          <t>Водорозетки под смеситель раковины (холодная + горячая)</t>
        </is>
      </c>
      <c r="C38" s="40" t="inlineStr">
        <is>
          <t>компл.</t>
        </is>
      </c>
      <c r="D38" s="66" t="n">
        <v>1</v>
      </c>
      <c r="E38" s="38" t="n">
        <v>4200</v>
      </c>
      <c r="F38" s="38">
        <f>ROUND(D38*E38,0)</f>
        <v/>
      </c>
      <c r="G38" s="10" t="inlineStr">
        <is>
          <t>2 точки</t>
        </is>
      </c>
    </row>
    <row r="39" ht="32" customHeight="1">
      <c r="A39" s="67" t="inlineStr">
        <is>
          <t>3.8</t>
        </is>
      </c>
      <c r="B39" s="42" t="inlineStr">
        <is>
          <t>Водорозетка холодной воды под стиральную машину с отсечным краном</t>
        </is>
      </c>
      <c r="C39" s="45" t="inlineStr">
        <is>
          <t>шт.</t>
        </is>
      </c>
      <c r="D39" s="68" t="n">
        <v>1</v>
      </c>
      <c r="E39" s="43" t="n">
        <v>2500</v>
      </c>
      <c r="F39" s="43">
        <f>ROUND(D39*E39,0)</f>
        <v/>
      </c>
      <c r="G39" s="42" t="inlineStr">
        <is>
          <t>1 точка</t>
        </is>
      </c>
    </row>
    <row r="40" ht="32" customHeight="1">
      <c r="A40" s="65" t="inlineStr">
        <is>
          <t>3.9</t>
        </is>
      </c>
      <c r="B40" s="10" t="inlineStr">
        <is>
          <t>Водорозетка холодной воды к инсталляции</t>
        </is>
      </c>
      <c r="C40" s="40" t="inlineStr">
        <is>
          <t>шт.</t>
        </is>
      </c>
      <c r="D40" s="66" t="n">
        <v>1</v>
      </c>
      <c r="E40" s="38" t="n">
        <v>2200</v>
      </c>
      <c r="F40" s="38">
        <f>ROUND(D40*E40,0)</f>
        <v/>
      </c>
      <c r="G40" s="10" t="inlineStr">
        <is>
          <t>1 точка</t>
        </is>
      </c>
    </row>
    <row r="41" ht="32" customHeight="1">
      <c r="A41" s="67" t="inlineStr">
        <is>
          <t>3.10</t>
        </is>
      </c>
      <c r="B41" s="42" t="inlineStr">
        <is>
          <t>Штробление и проходы в стенах сантехкабины, заделка штраб</t>
        </is>
      </c>
      <c r="C41" s="45" t="inlineStr">
        <is>
          <t>м.п.</t>
        </is>
      </c>
      <c r="D41" s="68" t="n">
        <v>8</v>
      </c>
      <c r="E41" s="43" t="n">
        <v>900</v>
      </c>
      <c r="F41" s="43">
        <f>ROUND(D41*E41,0)</f>
        <v/>
      </c>
      <c r="G41" s="42" t="inlineStr">
        <is>
          <t>Стены тонкие, армированные — работа аккуратная</t>
        </is>
      </c>
    </row>
    <row r="42" ht="32" customHeight="1">
      <c r="A42" s="65" t="inlineStr">
        <is>
          <t>3.11</t>
        </is>
      </c>
      <c r="B42" s="10" t="inlineStr">
        <is>
          <t>Опрессовка системы водоснабжения и проверка соединений</t>
        </is>
      </c>
      <c r="C42" s="40" t="inlineStr">
        <is>
          <t>шт.</t>
        </is>
      </c>
      <c r="D42" s="66" t="n">
        <v>1</v>
      </c>
      <c r="E42" s="38" t="n">
        <v>4000</v>
      </c>
      <c r="F42" s="38">
        <f>ROUND(D42*E42,0)</f>
        <v/>
      </c>
      <c r="G42" s="10" t="inlineStr">
        <is>
          <t>До закрытия коробов и до чистовой отделки</t>
        </is>
      </c>
    </row>
    <row r="43" ht="22" customHeight="1">
      <c r="A43" s="69" t="inlineStr">
        <is>
          <t>Итого по разделу 3</t>
        </is>
      </c>
      <c r="B43" s="70" t="n"/>
      <c r="C43" s="70" t="n"/>
      <c r="D43" s="70" t="n"/>
      <c r="E43" s="70" t="n"/>
      <c r="F43" s="71">
        <f>SUM(F32:F42)</f>
        <v/>
      </c>
      <c r="G43" s="70" t="n"/>
    </row>
    <row r="44" ht="10" customHeight="1">
      <c r="A44" s="4" t="n"/>
      <c r="B44" s="4" t="n"/>
      <c r="C44" s="4" t="n"/>
      <c r="D44" s="4" t="n"/>
      <c r="E44" s="4" t="n"/>
      <c r="F44" s="4" t="n"/>
      <c r="G44" s="4" t="n"/>
    </row>
    <row r="45" ht="22" customHeight="1">
      <c r="A45" s="63" t="inlineStr">
        <is>
          <t xml:space="preserve">  РАЗДЕЛ 4.  КАНАЛИЗАЦИЯ (БЕЗ СТОЯКА) И ИНСТАЛЛЯЦИЯ</t>
        </is>
      </c>
      <c r="B45" s="30" t="n"/>
      <c r="C45" s="30" t="n"/>
      <c r="D45" s="30" t="n"/>
      <c r="E45" s="30" t="n"/>
      <c r="F45" s="30" t="n"/>
      <c r="G45" s="30" t="n"/>
    </row>
    <row r="46" ht="28" customHeight="1">
      <c r="A46" s="64" t="inlineStr">
        <is>
          <t>Стояк канализации не меняем. Для подвесного унитаза — переход с чугунного отвода на пластик и монтаж инсталляции.</t>
        </is>
      </c>
      <c r="B46" s="29" t="n"/>
      <c r="C46" s="29" t="n"/>
      <c r="D46" s="29" t="n"/>
      <c r="E46" s="29" t="n"/>
      <c r="F46" s="29" t="n"/>
      <c r="G46" s="29" t="n"/>
    </row>
    <row r="47" ht="32" customHeight="1">
      <c r="A47" s="65" t="inlineStr">
        <is>
          <t>4.1</t>
        </is>
      </c>
      <c r="B47" s="10" t="inlineStr">
        <is>
          <t>Прокладка канализации Ø50 к ванне, раковине и стиральной машине</t>
        </is>
      </c>
      <c r="C47" s="40" t="inlineStr">
        <is>
          <t>м.п.</t>
        </is>
      </c>
      <c r="D47" s="66" t="n">
        <v>8</v>
      </c>
      <c r="E47" s="38" t="n">
        <v>750</v>
      </c>
      <c r="F47" s="38">
        <f>ROUND(D47*E47,0)</f>
        <v/>
      </c>
      <c r="G47" s="10" t="inlineStr">
        <is>
          <t>Уклоны, ревизии, хомуты</t>
        </is>
      </c>
    </row>
    <row r="48" ht="32" customHeight="1">
      <c r="A48" s="67" t="inlineStr">
        <is>
          <t>4.2</t>
        </is>
      </c>
      <c r="B48" s="42" t="inlineStr">
        <is>
          <t>Прокладка канализации Ø110 от выпуска стояка до инсталляции</t>
        </is>
      </c>
      <c r="C48" s="45" t="inlineStr">
        <is>
          <t>м.п.</t>
        </is>
      </c>
      <c r="D48" s="72" t="n">
        <v>1.5</v>
      </c>
      <c r="E48" s="43" t="n">
        <v>1400</v>
      </c>
      <c r="F48" s="43">
        <f>ROUND(D48*E48,0)</f>
        <v/>
      </c>
      <c r="G48" s="42" t="inlineStr">
        <is>
          <t>Стояк не заменяем</t>
        </is>
      </c>
    </row>
    <row r="49" ht="32" customHeight="1">
      <c r="A49" s="65" t="inlineStr">
        <is>
          <t>4.3</t>
        </is>
      </c>
      <c r="B49" s="10" t="inlineStr">
        <is>
          <t>Расчеканка чугунного отвода и переход на пластик без замены стояка</t>
        </is>
      </c>
      <c r="C49" s="40" t="inlineStr">
        <is>
          <t>шт.</t>
        </is>
      </c>
      <c r="D49" s="66" t="n">
        <v>1</v>
      </c>
      <c r="E49" s="38" t="n">
        <v>14000</v>
      </c>
      <c r="F49" s="38">
        <f>ROUND(D49*E49,0)</f>
        <v/>
      </c>
      <c r="G49" s="10" t="inlineStr">
        <is>
          <t>Ключевой узел ЛГ-137. Стояк чугунный сохраняется</t>
        </is>
      </c>
    </row>
    <row r="50" ht="32" customHeight="1">
      <c r="A50" s="67" t="inlineStr">
        <is>
          <t>4.4</t>
        </is>
      </c>
      <c r="B50" s="42" t="inlineStr">
        <is>
          <t>Монтаж инсталляции: рама, крепление к полу и стенам, выставление</t>
        </is>
      </c>
      <c r="C50" s="45" t="inlineStr">
        <is>
          <t>шт.</t>
        </is>
      </c>
      <c r="D50" s="68" t="n">
        <v>1</v>
      </c>
      <c r="E50" s="43" t="n">
        <v>10000</v>
      </c>
      <c r="F50" s="43">
        <f>ROUND(D50*E50,0)</f>
        <v/>
      </c>
      <c r="G50" s="42" t="inlineStr">
        <is>
          <t>Туалет узкий: рама подбирается по месту</t>
        </is>
      </c>
    </row>
    <row r="51" ht="32" customHeight="1">
      <c r="A51" s="65" t="inlineStr">
        <is>
          <t>4.5</t>
        </is>
      </c>
      <c r="B51" s="10" t="inlineStr">
        <is>
          <t>Подключение воды и канализации к инсталляции, звукоизоляция рамы</t>
        </is>
      </c>
      <c r="C51" s="40" t="inlineStr">
        <is>
          <t>шт.</t>
        </is>
      </c>
      <c r="D51" s="66" t="n">
        <v>1</v>
      </c>
      <c r="E51" s="38" t="n">
        <v>5000</v>
      </c>
      <c r="F51" s="38">
        <f>ROUND(D51*E51,0)</f>
        <v/>
      </c>
      <c r="G51" s="10" t="inlineStr">
        <is>
          <t>Демпферная лента, проверка бака</t>
        </is>
      </c>
    </row>
    <row r="52" ht="32" customHeight="1">
      <c r="A52" s="67" t="inlineStr">
        <is>
          <t>4.6</t>
        </is>
      </c>
      <c r="B52" s="42" t="inlineStr">
        <is>
          <t>Короб инсталляции из влагостойкого ГВЛ, усиление под плитку</t>
        </is>
      </c>
      <c r="C52" s="45" t="inlineStr">
        <is>
          <t>м²</t>
        </is>
      </c>
      <c r="D52" s="72" t="n">
        <v>2.5</v>
      </c>
      <c r="E52" s="43" t="n">
        <v>3200</v>
      </c>
      <c r="F52" s="43">
        <f>ROUND(D52*E52,0)</f>
        <v/>
      </c>
      <c r="G52" s="42" t="inlineStr">
        <is>
          <t>Плоскость под облицовку</t>
        </is>
      </c>
    </row>
    <row r="53" ht="32" customHeight="1">
      <c r="A53" s="65" t="inlineStr">
        <is>
          <t>4.7</t>
        </is>
      </c>
      <c r="B53" s="10" t="inlineStr">
        <is>
          <t>Ревизионный люк под кнопку смыва</t>
        </is>
      </c>
      <c r="C53" s="40" t="inlineStr">
        <is>
          <t>шт.</t>
        </is>
      </c>
      <c r="D53" s="66" t="n">
        <v>1</v>
      </c>
      <c r="E53" s="38" t="n">
        <v>2800</v>
      </c>
      <c r="F53" s="38">
        <f>ROUND(D53*E53,0)</f>
        <v/>
      </c>
      <c r="G53" s="10" t="inlineStr"/>
    </row>
    <row r="54" ht="32" customHeight="1">
      <c r="A54" s="67" t="inlineStr">
        <is>
          <t>4.8</t>
        </is>
      </c>
      <c r="B54" s="42" t="inlineStr">
        <is>
          <t>Установка кнопки смыва после облицовки</t>
        </is>
      </c>
      <c r="C54" s="45" t="inlineStr">
        <is>
          <t>шт.</t>
        </is>
      </c>
      <c r="D54" s="68" t="n">
        <v>1</v>
      </c>
      <c r="E54" s="43" t="n">
        <v>2200</v>
      </c>
      <c r="F54" s="43">
        <f>ROUND(D54*E54,0)</f>
        <v/>
      </c>
      <c r="G54" s="42" t="inlineStr">
        <is>
          <t>Чистовой этап</t>
        </is>
      </c>
    </row>
    <row r="55" ht="22" customHeight="1">
      <c r="A55" s="69" t="inlineStr">
        <is>
          <t>Итого по разделу 4</t>
        </is>
      </c>
      <c r="B55" s="70" t="n"/>
      <c r="C55" s="70" t="n"/>
      <c r="D55" s="70" t="n"/>
      <c r="E55" s="70" t="n"/>
      <c r="F55" s="71">
        <f>SUM(F47:F54)</f>
        <v/>
      </c>
      <c r="G55" s="70" t="n"/>
    </row>
    <row r="56" ht="10" customHeight="1">
      <c r="A56" s="4" t="n"/>
      <c r="B56" s="4" t="n"/>
      <c r="C56" s="4" t="n"/>
      <c r="D56" s="4" t="n"/>
      <c r="E56" s="4" t="n"/>
      <c r="F56" s="4" t="n"/>
      <c r="G56" s="4" t="n"/>
    </row>
    <row r="57" ht="22" customHeight="1">
      <c r="A57" s="63" t="inlineStr">
        <is>
          <t xml:space="preserve">  РАЗДЕЛ 5.  ПОДГОТОВКА ОСНОВАНИЙ И ГИДРОИЗОЛЯЦИЯ</t>
        </is>
      </c>
      <c r="B57" s="30" t="n"/>
      <c r="C57" s="30" t="n"/>
      <c r="D57" s="30" t="n"/>
      <c r="E57" s="30" t="n"/>
      <c r="F57" s="30" t="n"/>
      <c r="G57" s="30" t="n"/>
    </row>
    <row r="58" ht="28" customHeight="1">
      <c r="A58" s="64" t="inlineStr">
        <is>
          <t>Пол — гидроизоляция + керамогранит. Стены — гидроизоляция до уровня ванны + плитка. Потолок не трогаем.</t>
        </is>
      </c>
      <c r="B58" s="29" t="n"/>
      <c r="C58" s="29" t="n"/>
      <c r="D58" s="29" t="n"/>
      <c r="E58" s="29" t="n"/>
      <c r="F58" s="29" t="n"/>
      <c r="G58" s="29" t="n"/>
    </row>
    <row r="59" ht="32" customHeight="1">
      <c r="A59" s="65" t="inlineStr">
        <is>
          <t>5.1</t>
        </is>
      </c>
      <c r="B59" s="10" t="inlineStr">
        <is>
          <t>Грунтование пола ванной и туалета</t>
        </is>
      </c>
      <c r="C59" s="40" t="inlineStr">
        <is>
          <t>м²</t>
        </is>
      </c>
      <c r="D59" s="73" t="n">
        <v>3.53</v>
      </c>
      <c r="E59" s="38" t="n">
        <v>280</v>
      </c>
      <c r="F59" s="38">
        <f>ROUND(D59*E59,0)</f>
        <v/>
      </c>
      <c r="G59" s="10" t="inlineStr">
        <is>
          <t>3.53 м²</t>
        </is>
      </c>
    </row>
    <row r="60" ht="32" customHeight="1">
      <c r="A60" s="67" t="inlineStr">
        <is>
          <t>5.2</t>
        </is>
      </c>
      <c r="B60" s="42" t="inlineStr">
        <is>
          <t>Устройство выравнивающей стяжки пола</t>
        </is>
      </c>
      <c r="C60" s="45" t="inlineStr">
        <is>
          <t>м²</t>
        </is>
      </c>
      <c r="D60" s="72" t="n">
        <v>3.53</v>
      </c>
      <c r="E60" s="43" t="n">
        <v>1500</v>
      </c>
      <c r="F60" s="43">
        <f>ROUND(D60*E60,0)</f>
        <v/>
      </c>
      <c r="G60" s="42" t="inlineStr">
        <is>
          <t>Под керамогранит, с учётом порогов</t>
        </is>
      </c>
    </row>
    <row r="61" ht="32" customHeight="1">
      <c r="A61" s="65" t="inlineStr">
        <is>
          <t>5.3</t>
        </is>
      </c>
      <c r="B61" s="10" t="inlineStr">
        <is>
          <t>Гидроизоляция пола обмазочная в 2 слоя с заходом на стены 150–200 мм</t>
        </is>
      </c>
      <c r="C61" s="40" t="inlineStr">
        <is>
          <t>м²</t>
        </is>
      </c>
      <c r="D61" s="73" t="n">
        <v>3.53</v>
      </c>
      <c r="E61" s="38" t="n">
        <v>1200</v>
      </c>
      <c r="F61" s="38">
        <f>ROUND(D61*E61,0)</f>
        <v/>
      </c>
      <c r="G61" s="10" t="inlineStr">
        <is>
          <t>Ванна + туалет, угловые ленты</t>
        </is>
      </c>
    </row>
    <row r="62" ht="32" customHeight="1">
      <c r="A62" s="67" t="inlineStr">
        <is>
          <t>5.4</t>
        </is>
      </c>
      <c r="B62" s="42" t="inlineStr">
        <is>
          <t>Грунтование стен (бетоноконтакт — если старое покрытие сохраняется)</t>
        </is>
      </c>
      <c r="C62" s="45" t="inlineStr">
        <is>
          <t>м²</t>
        </is>
      </c>
      <c r="D62" s="72" t="n">
        <v>24.36</v>
      </c>
      <c r="E62" s="43" t="n">
        <v>220</v>
      </c>
      <c r="F62" s="43">
        <f>ROUND(D62*E62,0)</f>
        <v/>
      </c>
      <c r="G62" s="42" t="inlineStr">
        <is>
          <t>Без демонтажа плитки</t>
        </is>
      </c>
    </row>
    <row r="63" ht="32" customHeight="1">
      <c r="A63" s="65" t="inlineStr">
        <is>
          <t>5.5</t>
        </is>
      </c>
      <c r="B63" s="10" t="inlineStr">
        <is>
          <t>Выравнивание стен под плитку без демонтажа старой плитки</t>
        </is>
      </c>
      <c r="C63" s="40" t="inlineStr">
        <is>
          <t>м²</t>
        </is>
      </c>
      <c r="D63" s="73" t="n">
        <v>24.36</v>
      </c>
      <c r="E63" s="38" t="n">
        <v>980</v>
      </c>
      <c r="F63" s="38">
        <f>ROUND(D63*E63,0)</f>
        <v/>
      </c>
      <c r="G63" s="10" t="inlineStr">
        <is>
          <t>Штукатурка / ремонтный состав по существующему основанию</t>
        </is>
      </c>
    </row>
    <row r="64" ht="32" customHeight="1">
      <c r="A64" s="67" t="inlineStr">
        <is>
          <t>5.6</t>
        </is>
      </c>
      <c r="B64" s="42" t="inlineStr">
        <is>
          <t>Обмазочная гидроизоляция стен до уровня ванны (h ≈ 0,70 м)</t>
        </is>
      </c>
      <c r="C64" s="45" t="inlineStr">
        <is>
          <t>м²</t>
        </is>
      </c>
      <c r="D64" s="72" t="n">
        <v>6.51</v>
      </c>
      <c r="E64" s="43" t="n">
        <v>950</v>
      </c>
      <c r="F64" s="43">
        <f>ROUND(D64*E64,0)</f>
        <v/>
      </c>
      <c r="G64" s="42" t="inlineStr">
        <is>
          <t>Ванна и туалет</t>
        </is>
      </c>
    </row>
    <row r="65" ht="32" customHeight="1">
      <c r="A65" s="65" t="inlineStr">
        <is>
          <t>5.7</t>
        </is>
      </c>
      <c r="B65" s="10" t="inlineStr">
        <is>
          <t>Гидроизоляция душевой зоны над ванной до высоты 2,0 м</t>
        </is>
      </c>
      <c r="C65" s="40" t="inlineStr">
        <is>
          <t>м²</t>
        </is>
      </c>
      <c r="D65" s="73" t="n">
        <v>3.19</v>
      </c>
      <c r="E65" s="38" t="n">
        <v>980</v>
      </c>
      <c r="F65" s="38">
        <f>ROUND(D65*E65,0)</f>
        <v/>
      </c>
      <c r="G65" s="10" t="inlineStr">
        <is>
          <t>Необходимо: душ над ванной</t>
        </is>
      </c>
    </row>
    <row r="66" ht="22" customHeight="1">
      <c r="A66" s="69" t="inlineStr">
        <is>
          <t>Итого по разделу 5</t>
        </is>
      </c>
      <c r="B66" s="70" t="n"/>
      <c r="C66" s="70" t="n"/>
      <c r="D66" s="70" t="n"/>
      <c r="E66" s="70" t="n"/>
      <c r="F66" s="71">
        <f>SUM(F59:F65)</f>
        <v/>
      </c>
      <c r="G66" s="70" t="n"/>
    </row>
    <row r="67" ht="10" customHeight="1">
      <c r="A67" s="4" t="n"/>
      <c r="B67" s="4" t="n"/>
      <c r="C67" s="4" t="n"/>
      <c r="D67" s="4" t="n"/>
      <c r="E67" s="4" t="n"/>
      <c r="F67" s="4" t="n"/>
      <c r="G67" s="4" t="n"/>
    </row>
    <row r="68" ht="22" customHeight="1">
      <c r="A68" s="63" t="inlineStr">
        <is>
          <t xml:space="preserve">  РАЗДЕЛ 6.  ПОРОГИ И ОБЛИЦОВКА (КЕРАМОГРАНИТ / ПЛИТКА)</t>
        </is>
      </c>
      <c r="B68" s="30" t="n"/>
      <c r="C68" s="30" t="n"/>
      <c r="D68" s="30" t="n"/>
      <c r="E68" s="30" t="n"/>
      <c r="F68" s="30" t="n"/>
      <c r="G68" s="30" t="n"/>
    </row>
    <row r="69" ht="28" customHeight="1">
      <c r="A69" s="64" t="inlineStr">
        <is>
          <t>Подбивка порогов двух проёмов и заведение плитки под двери ванны и туалета. Потолок не облицовывается.</t>
        </is>
      </c>
      <c r="B69" s="29" t="n"/>
      <c r="C69" s="29" t="n"/>
      <c r="D69" s="29" t="n"/>
      <c r="E69" s="29" t="n"/>
      <c r="F69" s="29" t="n"/>
      <c r="G69" s="29" t="n"/>
    </row>
    <row r="70" ht="32" customHeight="1">
      <c r="A70" s="65" t="inlineStr">
        <is>
          <t>6.1</t>
        </is>
      </c>
      <c r="B70" s="10" t="inlineStr">
        <is>
          <t>Подбивка, усиление и выравнивание порога проёма ванной</t>
        </is>
      </c>
      <c r="C70" s="40" t="inlineStr">
        <is>
          <t>шт.</t>
        </is>
      </c>
      <c r="D70" s="66" t="n">
        <v>1</v>
      </c>
      <c r="E70" s="38" t="n">
        <v>4500</v>
      </c>
      <c r="F70" s="38">
        <f>ROUND(D70*E70,0)</f>
        <v/>
      </c>
      <c r="G70" s="10" t="inlineStr">
        <is>
          <t>Проём ≈ 570×1980 мм</t>
        </is>
      </c>
    </row>
    <row r="71" ht="32" customHeight="1">
      <c r="A71" s="67" t="inlineStr">
        <is>
          <t>6.2</t>
        </is>
      </c>
      <c r="B71" s="42" t="inlineStr">
        <is>
          <t>Подбивка, усиление и выравнивание порога проёма туалета</t>
        </is>
      </c>
      <c r="C71" s="45" t="inlineStr">
        <is>
          <t>шт.</t>
        </is>
      </c>
      <c r="D71" s="68" t="n">
        <v>1</v>
      </c>
      <c r="E71" s="43" t="n">
        <v>4500</v>
      </c>
      <c r="F71" s="43">
        <f>ROUND(D71*E71,0)</f>
        <v/>
      </c>
      <c r="G71" s="42" t="inlineStr">
        <is>
          <t>Проём ≈ 570×1980 мм</t>
        </is>
      </c>
    </row>
    <row r="72" ht="32" customHeight="1">
      <c r="A72" s="65" t="inlineStr">
        <is>
          <t>6.3</t>
        </is>
      </c>
      <c r="B72" s="10" t="inlineStr">
        <is>
          <t>Гидроизоляция порогов</t>
        </is>
      </c>
      <c r="C72" s="40" t="inlineStr">
        <is>
          <t>шт.</t>
        </is>
      </c>
      <c r="D72" s="66" t="n">
        <v>2</v>
      </c>
      <c r="E72" s="38" t="n">
        <v>1300</v>
      </c>
      <c r="F72" s="38">
        <f>ROUND(D72*E72,0)</f>
        <v/>
      </c>
      <c r="G72" s="10" t="inlineStr">
        <is>
          <t>Стык «мокрых» помещений с коридором</t>
        </is>
      </c>
    </row>
    <row r="73" ht="32" customHeight="1">
      <c r="A73" s="67" t="inlineStr">
        <is>
          <t>6.4</t>
        </is>
      </c>
      <c r="B73" s="42" t="inlineStr">
        <is>
          <t>Укладка керамогранита на пол ванной</t>
        </is>
      </c>
      <c r="C73" s="45" t="inlineStr">
        <is>
          <t>м²</t>
        </is>
      </c>
      <c r="D73" s="72" t="n">
        <v>2.55</v>
      </c>
      <c r="E73" s="43" t="n">
        <v>2800</v>
      </c>
      <c r="F73" s="43">
        <f>ROUND(D73*E73,0)</f>
        <v/>
      </c>
      <c r="G73" s="42" t="inlineStr">
        <is>
          <t>Прямая раскладка, подрезка у ванны и стен</t>
        </is>
      </c>
    </row>
    <row r="74" ht="32" customHeight="1">
      <c r="A74" s="65" t="inlineStr">
        <is>
          <t>6.5</t>
        </is>
      </c>
      <c r="B74" s="10" t="inlineStr">
        <is>
          <t>Укладка керамогранита на пол туалета (стеснённые условия)</t>
        </is>
      </c>
      <c r="C74" s="40" t="inlineStr">
        <is>
          <t>м²</t>
        </is>
      </c>
      <c r="D74" s="73" t="n">
        <v>0.98</v>
      </c>
      <c r="E74" s="38" t="n">
        <v>3200</v>
      </c>
      <c r="F74" s="38">
        <f>ROUND(D74*E74,0)</f>
        <v/>
      </c>
      <c r="G74" s="10" t="inlineStr">
        <is>
          <t>Площадь ≈ 1 м², много подрезки</t>
        </is>
      </c>
    </row>
    <row r="75" ht="32" customHeight="1">
      <c r="A75" s="67" t="inlineStr">
        <is>
          <t>6.6</t>
        </is>
      </c>
      <c r="B75" s="42" t="inlineStr">
        <is>
          <t>Облицовка стен ванной плиткой</t>
        </is>
      </c>
      <c r="C75" s="45" t="inlineStr">
        <is>
          <t>м²</t>
        </is>
      </c>
      <c r="D75" s="72" t="n">
        <v>15.19</v>
      </c>
      <c r="E75" s="43" t="n">
        <v>2400</v>
      </c>
      <c r="F75" s="43">
        <f>ROUND(D75*E75,0)</f>
        <v/>
      </c>
      <c r="G75" s="42" t="inlineStr">
        <is>
          <t>До существующего потолка, потолок не трогаем</t>
        </is>
      </c>
    </row>
    <row r="76" ht="32" customHeight="1">
      <c r="A76" s="65" t="inlineStr">
        <is>
          <t>6.7</t>
        </is>
      </c>
      <c r="B76" s="10" t="inlineStr">
        <is>
          <t>Облицовка стен туалета и короба инсталляции плиткой</t>
        </is>
      </c>
      <c r="C76" s="40" t="inlineStr">
        <is>
          <t>м²</t>
        </is>
      </c>
      <c r="D76" s="73" t="n">
        <v>10.67</v>
      </c>
      <c r="E76" s="38" t="n">
        <v>2500</v>
      </c>
      <c r="F76" s="38">
        <f>ROUND(D76*E76,0)</f>
        <v/>
      </c>
      <c r="G76" s="10" t="inlineStr">
        <is>
          <t>Включая плоскость инсталляции</t>
        </is>
      </c>
    </row>
    <row r="77" ht="32" customHeight="1">
      <c r="A77" s="67" t="inlineStr">
        <is>
          <t>6.8</t>
        </is>
      </c>
      <c r="B77" s="42" t="inlineStr">
        <is>
          <t>Укладка плитки на пороги / заведение под дверные полотна ванны и туалета</t>
        </is>
      </c>
      <c r="C77" s="45" t="inlineStr">
        <is>
          <t>шт.</t>
        </is>
      </c>
      <c r="D77" s="68" t="n">
        <v>2</v>
      </c>
      <c r="E77" s="43" t="n">
        <v>3200</v>
      </c>
      <c r="F77" s="43">
        <f>ROUND(D77*E77,0)</f>
        <v/>
      </c>
      <c r="G77" s="42" t="inlineStr">
        <is>
          <t>Кусок плитки под каждую дверь</t>
        </is>
      </c>
    </row>
    <row r="78" ht="32" customHeight="1">
      <c r="A78" s="65" t="inlineStr">
        <is>
          <t>6.9</t>
        </is>
      </c>
      <c r="B78" s="10" t="inlineStr">
        <is>
          <t>Затирка швов пола и стен влагостойкая</t>
        </is>
      </c>
      <c r="C78" s="40" t="inlineStr">
        <is>
          <t>м²</t>
        </is>
      </c>
      <c r="D78" s="73" t="n">
        <v>29.39</v>
      </c>
      <c r="E78" s="38" t="n">
        <v>380</v>
      </c>
      <c r="F78" s="38">
        <f>ROUND(D78*E78,0)</f>
        <v/>
      </c>
      <c r="G78" s="10" t="inlineStr"/>
    </row>
    <row r="79" ht="32" customHeight="1">
      <c r="A79" s="67" t="inlineStr">
        <is>
          <t>6.10</t>
        </is>
      </c>
      <c r="B79" s="42" t="inlineStr">
        <is>
          <t>Раскладки / кромки, подрезка, сверление под водорозетки и выпуски</t>
        </is>
      </c>
      <c r="C79" s="45" t="inlineStr">
        <is>
          <t>м.п.</t>
        </is>
      </c>
      <c r="D79" s="68" t="n">
        <v>16</v>
      </c>
      <c r="E79" s="43" t="n">
        <v>380</v>
      </c>
      <c r="F79" s="43">
        <f>ROUND(D79*E79,0)</f>
        <v/>
      </c>
      <c r="G79" s="42" t="inlineStr">
        <is>
          <t>Наружные углы, откосы проёмов</t>
        </is>
      </c>
    </row>
    <row r="80" ht="32" customHeight="1">
      <c r="A80" s="65" t="inlineStr">
        <is>
          <t>6.11</t>
        </is>
      </c>
      <c r="B80" s="10" t="inlineStr">
        <is>
          <t>Экран ванны (блоки или каркас) с облицовкой и ревизионным люком</t>
        </is>
      </c>
      <c r="C80" s="40" t="inlineStr">
        <is>
          <t>м²</t>
        </is>
      </c>
      <c r="D80" s="73" t="n">
        <v>1.6</v>
      </c>
      <c r="E80" s="38" t="n">
        <v>3400</v>
      </c>
      <c r="F80" s="38">
        <f>ROUND(D80*E80,0)</f>
        <v/>
      </c>
      <c r="G80" s="10" t="inlineStr">
        <is>
          <t>Доступ к сифону</t>
        </is>
      </c>
    </row>
    <row r="81" ht="32" customHeight="1">
      <c r="A81" s="67" t="inlineStr">
        <is>
          <t>6.12</t>
        </is>
      </c>
      <c r="B81" s="42" t="inlineStr">
        <is>
          <t>Герметизация примыканий ванны, раковины и углов санитарным силиконом</t>
        </is>
      </c>
      <c r="C81" s="45" t="inlineStr">
        <is>
          <t>м.п.</t>
        </is>
      </c>
      <c r="D81" s="68" t="n">
        <v>12</v>
      </c>
      <c r="E81" s="43" t="n">
        <v>300</v>
      </c>
      <c r="F81" s="43">
        <f>ROUND(D81*E81,0)</f>
        <v/>
      </c>
      <c r="G81" s="42" t="inlineStr">
        <is>
          <t>Цвет по затирке</t>
        </is>
      </c>
    </row>
    <row r="82" ht="22" customHeight="1">
      <c r="A82" s="69" t="inlineStr">
        <is>
          <t>Итого по разделу 6</t>
        </is>
      </c>
      <c r="B82" s="70" t="n"/>
      <c r="C82" s="70" t="n"/>
      <c r="D82" s="70" t="n"/>
      <c r="E82" s="70" t="n"/>
      <c r="F82" s="71">
        <f>SUM(F70:F81)</f>
        <v/>
      </c>
      <c r="G82" s="70" t="n"/>
    </row>
    <row r="83" ht="10" customHeight="1">
      <c r="A83" s="4" t="n"/>
      <c r="B83" s="4" t="n"/>
      <c r="C83" s="4" t="n"/>
      <c r="D83" s="4" t="n"/>
      <c r="E83" s="4" t="n"/>
      <c r="F83" s="4" t="n"/>
      <c r="G83" s="4" t="n"/>
    </row>
    <row r="84" ht="22" customHeight="1">
      <c r="A84" s="63" t="inlineStr">
        <is>
          <t xml:space="preserve">  РАЗДЕЛ 7.  УСТАНОВКА ОБОРУДОВАНИЯ: ВАННА ИЗ НАЛИВНОГО КАМНЯ, СМЕСИТЕЛИ, ДУШ, РАКОВИНА, УНИТАЗ</t>
        </is>
      </c>
      <c r="B84" s="30" t="n"/>
      <c r="C84" s="30" t="n"/>
      <c r="D84" s="30" t="n"/>
      <c r="E84" s="30" t="n"/>
      <c r="F84" s="30" t="n"/>
      <c r="G84" s="30" t="n"/>
    </row>
    <row r="85" ht="28" customHeight="1">
      <c r="A85" s="64" t="inlineStr">
        <is>
          <t>Ванна из наливного камня тяжёлая: обязателен опорный подиум, занос через узкий проём 57 см (3–4 человека, при необходимости через окно).</t>
        </is>
      </c>
      <c r="B85" s="29" t="n"/>
      <c r="C85" s="29" t="n"/>
      <c r="D85" s="29" t="n"/>
      <c r="E85" s="29" t="n"/>
      <c r="F85" s="29" t="n"/>
      <c r="G85" s="29" t="n"/>
    </row>
    <row r="86" ht="32" customHeight="1">
      <c r="A86" s="65" t="inlineStr">
        <is>
          <t>7.1</t>
        </is>
      </c>
      <c r="B86" s="10" t="inlineStr">
        <is>
          <t>Устройство опорного подиума / ложемента под ванну из наливного камня</t>
        </is>
      </c>
      <c r="C86" s="40" t="inlineStr">
        <is>
          <t>шт.</t>
        </is>
      </c>
      <c r="D86" s="66" t="n">
        <v>1</v>
      </c>
      <c r="E86" s="38" t="n">
        <v>14000</v>
      </c>
      <c r="F86" s="38">
        <f>ROUND(D86*E86,0)</f>
        <v/>
      </c>
      <c r="G86" s="10" t="inlineStr">
        <is>
          <t>Ножки производителя не держат вес — опора на пол по контуру</t>
        </is>
      </c>
    </row>
    <row r="87" ht="32" customHeight="1">
      <c r="A87" s="67" t="inlineStr">
        <is>
          <t>7.2</t>
        </is>
      </c>
      <c r="B87" s="42" t="inlineStr">
        <is>
          <t>Занос тяжёлой ванны (узкий проём 57 см, 3–4 человека)</t>
        </is>
      </c>
      <c r="C87" s="45" t="inlineStr">
        <is>
          <t>шт.</t>
        </is>
      </c>
      <c r="D87" s="68" t="n">
        <v>1</v>
      </c>
      <c r="E87" s="43" t="n">
        <v>8000</v>
      </c>
      <c r="F87" s="43">
        <f>ROUND(D87*E87,0)</f>
        <v/>
      </c>
      <c r="G87" s="42" t="inlineStr">
        <is>
          <t>Если не проходит — занос через окно, уточняется на замере</t>
        </is>
      </c>
    </row>
    <row r="88" ht="32" customHeight="1">
      <c r="A88" s="65" t="inlineStr">
        <is>
          <t>7.3</t>
        </is>
      </c>
      <c r="B88" s="10" t="inlineStr">
        <is>
          <t>Установка и выверка ванны из наливного камня, примыкание к стенам</t>
        </is>
      </c>
      <c r="C88" s="40" t="inlineStr">
        <is>
          <t>шт.</t>
        </is>
      </c>
      <c r="D88" s="66" t="n">
        <v>1</v>
      </c>
      <c r="E88" s="38" t="n">
        <v>12000</v>
      </c>
      <c r="F88" s="38">
        <f>ROUND(D88*E88,0)</f>
        <v/>
      </c>
      <c r="G88" s="10" t="inlineStr">
        <is>
          <t>Уровень, зазоры под силикон, защита чаши</t>
        </is>
      </c>
    </row>
    <row r="89" ht="32" customHeight="1">
      <c r="A89" s="67" t="inlineStr">
        <is>
          <t>7.4</t>
        </is>
      </c>
      <c r="B89" s="42" t="inlineStr">
        <is>
          <t>Монтаж слива-перелива и сифона ванны</t>
        </is>
      </c>
      <c r="C89" s="45" t="inlineStr">
        <is>
          <t>шт.</t>
        </is>
      </c>
      <c r="D89" s="68" t="n">
        <v>1</v>
      </c>
      <c r="E89" s="43" t="n">
        <v>3500</v>
      </c>
      <c r="F89" s="43">
        <f>ROUND(D89*E89,0)</f>
        <v/>
      </c>
      <c r="G89" s="42" t="inlineStr">
        <is>
          <t>Выпуск в канализацию Ø50</t>
        </is>
      </c>
    </row>
    <row r="90" ht="32" customHeight="1">
      <c r="A90" s="65" t="inlineStr">
        <is>
          <t>7.5</t>
        </is>
      </c>
      <c r="B90" s="10" t="inlineStr">
        <is>
          <t>Установка смесителя на ванну</t>
        </is>
      </c>
      <c r="C90" s="40" t="inlineStr">
        <is>
          <t>шт.</t>
        </is>
      </c>
      <c r="D90" s="66" t="n">
        <v>1</v>
      </c>
      <c r="E90" s="38" t="n">
        <v>3200</v>
      </c>
      <c r="F90" s="38">
        <f>ROUND(D90*E90,0)</f>
        <v/>
      </c>
      <c r="G90" s="10" t="inlineStr">
        <is>
          <t>На водорозетки, эксцентрики, декоративные чашки</t>
        </is>
      </c>
    </row>
    <row r="91" ht="32" customHeight="1">
      <c r="A91" s="67" t="inlineStr">
        <is>
          <t>7.6</t>
        </is>
      </c>
      <c r="B91" s="42" t="inlineStr">
        <is>
          <t>Монтаж душа: стойка / лейка / шланг / держатель</t>
        </is>
      </c>
      <c r="C91" s="45" t="inlineStr">
        <is>
          <t>шт.</t>
        </is>
      </c>
      <c r="D91" s="68" t="n">
        <v>1</v>
      </c>
      <c r="E91" s="43" t="n">
        <v>4200</v>
      </c>
      <c r="F91" s="43">
        <f>ROUND(D91*E91,0)</f>
        <v/>
      </c>
      <c r="G91" s="42" t="inlineStr">
        <is>
          <t>Душ над ванной (кабина в габарит 1700×1500 не закладывалась)</t>
        </is>
      </c>
    </row>
    <row r="92" ht="32" customHeight="1">
      <c r="A92" s="65" t="inlineStr">
        <is>
          <t>7.7</t>
        </is>
      </c>
      <c r="B92" s="10" t="inlineStr">
        <is>
          <t>Установка раковины с креплением и сифоном</t>
        </is>
      </c>
      <c r="C92" s="40" t="inlineStr">
        <is>
          <t>шт.</t>
        </is>
      </c>
      <c r="D92" s="66" t="n">
        <v>1</v>
      </c>
      <c r="E92" s="38" t="n">
        <v>5000</v>
      </c>
      <c r="F92" s="38">
        <f>ROUND(D92*E92,0)</f>
        <v/>
      </c>
      <c r="G92" s="10" t="inlineStr">
        <is>
          <t>Подвесная / на кронштейнах / с тумбой — по модели заказчика</t>
        </is>
      </c>
    </row>
    <row r="93" ht="32" customHeight="1">
      <c r="A93" s="67" t="inlineStr">
        <is>
          <t>7.8</t>
        </is>
      </c>
      <c r="B93" s="42" t="inlineStr">
        <is>
          <t>Установка смесителя раковины</t>
        </is>
      </c>
      <c r="C93" s="45" t="inlineStr">
        <is>
          <t>шт.</t>
        </is>
      </c>
      <c r="D93" s="68" t="n">
        <v>1</v>
      </c>
      <c r="E93" s="43" t="n">
        <v>2500</v>
      </c>
      <c r="F93" s="43">
        <f>ROUND(D93*E93,0)</f>
        <v/>
      </c>
      <c r="G93" s="42" t="inlineStr"/>
    </row>
    <row r="94" ht="32" customHeight="1">
      <c r="A94" s="65" t="inlineStr">
        <is>
          <t>7.9</t>
        </is>
      </c>
      <c r="B94" s="10" t="inlineStr">
        <is>
          <t>Навеска унитаза на инсталляцию, регулировка, проверка смыва</t>
        </is>
      </c>
      <c r="C94" s="40" t="inlineStr">
        <is>
          <t>шт.</t>
        </is>
      </c>
      <c r="D94" s="66" t="n">
        <v>1</v>
      </c>
      <c r="E94" s="38" t="n">
        <v>5000</v>
      </c>
      <c r="F94" s="38">
        <f>ROUND(D94*E94,0)</f>
        <v/>
      </c>
      <c r="G94" s="10" t="inlineStr">
        <is>
          <t>После плитки и набора прочности</t>
        </is>
      </c>
    </row>
    <row r="95" ht="32" customHeight="1">
      <c r="A95" s="67" t="inlineStr">
        <is>
          <t>7.10</t>
        </is>
      </c>
      <c r="B95" s="42" t="inlineStr">
        <is>
          <t>Возврат и подключение стиральной машины (вода, слив, проверка)</t>
        </is>
      </c>
      <c r="C95" s="45" t="inlineStr">
        <is>
          <t>шт.</t>
        </is>
      </c>
      <c r="D95" s="68" t="n">
        <v>1</v>
      </c>
      <c r="E95" s="43" t="n">
        <v>2800</v>
      </c>
      <c r="F95" s="43">
        <f>ROUND(D95*E95,0)</f>
        <v/>
      </c>
      <c r="G95" s="42" t="inlineStr">
        <is>
          <t>Вынос — в разделе 2</t>
        </is>
      </c>
    </row>
    <row r="96" ht="32" customHeight="1">
      <c r="A96" s="65" t="inlineStr">
        <is>
          <t>7.11</t>
        </is>
      </c>
      <c r="B96" s="10" t="inlineStr">
        <is>
          <t>Чистовая установка отражателей водорозеток и подключение гибких подводок</t>
        </is>
      </c>
      <c r="C96" s="40" t="inlineStr">
        <is>
          <t>компл.</t>
        </is>
      </c>
      <c r="D96" s="66" t="n">
        <v>1</v>
      </c>
      <c r="E96" s="38" t="n">
        <v>2000</v>
      </c>
      <c r="F96" s="38">
        <f>ROUND(D96*E96,0)</f>
        <v/>
      </c>
      <c r="G96" s="10" t="inlineStr">
        <is>
          <t>6 водорозеток</t>
        </is>
      </c>
    </row>
    <row r="97" ht="22" customHeight="1">
      <c r="A97" s="69" t="inlineStr">
        <is>
          <t>Итого по разделу 7</t>
        </is>
      </c>
      <c r="B97" s="70" t="n"/>
      <c r="C97" s="70" t="n"/>
      <c r="D97" s="70" t="n"/>
      <c r="E97" s="70" t="n"/>
      <c r="F97" s="71">
        <f>SUM(F86:F96)</f>
        <v/>
      </c>
      <c r="G97" s="70" t="n"/>
    </row>
    <row r="98" ht="10" customHeight="1">
      <c r="A98" s="4" t="n"/>
      <c r="B98" s="4" t="n"/>
      <c r="C98" s="4" t="n"/>
      <c r="D98" s="4" t="n"/>
      <c r="E98" s="4" t="n"/>
      <c r="F98" s="4" t="n"/>
      <c r="G98" s="4" t="n"/>
    </row>
    <row r="99" ht="22" customHeight="1">
      <c r="A99" s="74" t="inlineStr">
        <is>
          <t xml:space="preserve">  РАЗДЕЛ 8.  РЕКОМЕНДУЕМЫЕ РАБОТЫ (ДЛЯ ЗАКОНЧЕННОГО РЕЗУЛЬТАТА)</t>
        </is>
      </c>
      <c r="B99" s="23" t="n"/>
      <c r="C99" s="23" t="n"/>
      <c r="D99" s="23" t="n"/>
      <c r="E99" s="23" t="n"/>
      <c r="F99" s="23" t="n"/>
      <c r="G99" s="23" t="n"/>
    </row>
    <row r="100" ht="28" customHeight="1">
      <c r="A100" s="75" t="inlineStr">
        <is>
          <t>Не входят в обязательный минимум по заданию, но на практике нужны. Можно исключить до договора.</t>
        </is>
      </c>
      <c r="B100" s="76" t="n"/>
      <c r="C100" s="76" t="n"/>
      <c r="D100" s="76" t="n"/>
      <c r="E100" s="76" t="n"/>
      <c r="F100" s="76" t="n"/>
      <c r="G100" s="76" t="n"/>
    </row>
    <row r="101" ht="32" customHeight="1">
      <c r="A101" s="65" t="inlineStr">
        <is>
          <t>8.1</t>
        </is>
      </c>
      <c r="B101" s="10" t="inlineStr">
        <is>
          <t>Декоративный короб стояков без вмешательства в стояки, ревизионный люк</t>
        </is>
      </c>
      <c r="C101" s="40" t="inlineStr">
        <is>
          <t>шт.</t>
        </is>
      </c>
      <c r="D101" s="66" t="n">
        <v>1</v>
      </c>
      <c r="E101" s="38" t="n">
        <v>9000</v>
      </c>
      <c r="F101" s="38">
        <f>ROUND(D101*E101,0)</f>
        <v/>
      </c>
      <c r="G101" s="10" t="inlineStr">
        <is>
          <t>Эстетика туалета, доступ к счётчикам и фильтрам</t>
        </is>
      </c>
    </row>
    <row r="102" ht="32" customHeight="1">
      <c r="A102" s="77" t="inlineStr">
        <is>
          <t>8.2</t>
        </is>
      </c>
      <c r="B102" s="47" t="inlineStr">
        <is>
          <t>Установка вытяжного вентилятора в существующий канал</t>
        </is>
      </c>
      <c r="C102" s="49" t="inlineStr">
        <is>
          <t>шт.</t>
        </is>
      </c>
      <c r="D102" s="78" t="n">
        <v>1</v>
      </c>
      <c r="E102" s="48" t="n">
        <v>2800</v>
      </c>
      <c r="F102" s="48">
        <f>ROUND(D102*E102,0)</f>
        <v/>
      </c>
      <c r="G102" s="47" t="inlineStr">
        <is>
          <t>Потолок не разбираем, по месту канала</t>
        </is>
      </c>
    </row>
    <row r="103" ht="32" customHeight="1">
      <c r="A103" s="65" t="inlineStr">
        <is>
          <t>8.3</t>
        </is>
      </c>
      <c r="B103" s="10" t="inlineStr">
        <is>
          <t>Розетка IP44 для стиральной машины, кабель, УЗО / дифавтомат</t>
        </is>
      </c>
      <c r="C103" s="40" t="inlineStr">
        <is>
          <t>шт.</t>
        </is>
      </c>
      <c r="D103" s="66" t="n">
        <v>1</v>
      </c>
      <c r="E103" s="38" t="n">
        <v>5500</v>
      </c>
      <c r="F103" s="38">
        <f>ROUND(D103*E103,0)</f>
        <v/>
      </c>
      <c r="G103" s="10" t="inlineStr">
        <is>
          <t>Влажная зона, заземление</t>
        </is>
      </c>
    </row>
    <row r="104" ht="32" customHeight="1">
      <c r="A104" s="77" t="inlineStr">
        <is>
          <t>8.4</t>
        </is>
      </c>
      <c r="B104" s="47" t="inlineStr">
        <is>
          <t>Розетка IP44 у раковины (фен / бритва)</t>
        </is>
      </c>
      <c r="C104" s="49" t="inlineStr">
        <is>
          <t>шт.</t>
        </is>
      </c>
      <c r="D104" s="78" t="n">
        <v>1</v>
      </c>
      <c r="E104" s="48" t="n">
        <v>3200</v>
      </c>
      <c r="F104" s="48">
        <f>ROUND(D104*E104,0)</f>
        <v/>
      </c>
      <c r="G104" s="47" t="inlineStr"/>
    </row>
    <row r="105" ht="32" customHeight="1">
      <c r="A105" s="65" t="inlineStr">
        <is>
          <t>8.5</t>
        </is>
      </c>
      <c r="B105" s="10" t="inlineStr">
        <is>
          <t>Навеска зеркала над раковиной</t>
        </is>
      </c>
      <c r="C105" s="40" t="inlineStr">
        <is>
          <t>шт.</t>
        </is>
      </c>
      <c r="D105" s="66" t="n">
        <v>1</v>
      </c>
      <c r="E105" s="38" t="n">
        <v>2500</v>
      </c>
      <c r="F105" s="38">
        <f>ROUND(D105*E105,0)</f>
        <v/>
      </c>
      <c r="G105" s="10" t="inlineStr"/>
    </row>
    <row r="106" ht="32" customHeight="1">
      <c r="A106" s="77" t="inlineStr">
        <is>
          <t>8.6</t>
        </is>
      </c>
      <c r="B106" s="47" t="inlineStr">
        <is>
          <t>Крепление аксессуаров: бумагодержатель, крючки, ёрш</t>
        </is>
      </c>
      <c r="C106" s="49" t="inlineStr">
        <is>
          <t>компл.</t>
        </is>
      </c>
      <c r="D106" s="78" t="n">
        <v>1</v>
      </c>
      <c r="E106" s="48" t="n">
        <v>2200</v>
      </c>
      <c r="F106" s="48">
        <f>ROUND(D106*E106,0)</f>
        <v/>
      </c>
      <c r="G106" s="47" t="inlineStr">
        <is>
          <t>Сверление по плитке</t>
        </is>
      </c>
    </row>
    <row r="107" ht="32" customHeight="1">
      <c r="A107" s="65" t="inlineStr">
        <is>
          <t>8.7</t>
        </is>
      </c>
      <c r="B107" s="10" t="inlineStr">
        <is>
          <t>Монтаж стеклянной шторки на ванну</t>
        </is>
      </c>
      <c r="C107" s="40" t="inlineStr">
        <is>
          <t>шт.</t>
        </is>
      </c>
      <c r="D107" s="66" t="n">
        <v>1</v>
      </c>
      <c r="E107" s="38" t="n">
        <v>6500</v>
      </c>
      <c r="F107" s="38">
        <f>ROUND(D107*E107,0)</f>
        <v/>
      </c>
      <c r="G107" s="10" t="inlineStr">
        <is>
          <t>Душ над ванной без залива коридора</t>
        </is>
      </c>
    </row>
    <row r="108" ht="32" customHeight="1">
      <c r="A108" s="77" t="inlineStr">
        <is>
          <t>8.8</t>
        </is>
      </c>
      <c r="B108" s="47" t="inlineStr">
        <is>
          <t>Финальная уборка ванной и туалета при сдаче</t>
        </is>
      </c>
      <c r="C108" s="49" t="inlineStr">
        <is>
          <t>шт.</t>
        </is>
      </c>
      <c r="D108" s="78" t="n">
        <v>1</v>
      </c>
      <c r="E108" s="48" t="n">
        <v>4500</v>
      </c>
      <c r="F108" s="48">
        <f>ROUND(D108*E108,0)</f>
        <v/>
      </c>
      <c r="G108" s="47" t="inlineStr"/>
    </row>
    <row r="109" ht="22" customHeight="1">
      <c r="A109" s="69" t="inlineStr">
        <is>
          <t>Итого по разделу 8</t>
        </is>
      </c>
      <c r="B109" s="70" t="n"/>
      <c r="C109" s="70" t="n"/>
      <c r="D109" s="70" t="n"/>
      <c r="E109" s="70" t="n"/>
      <c r="F109" s="71">
        <f>SUM(F101:F108)</f>
        <v/>
      </c>
      <c r="G109" s="70" t="n"/>
    </row>
    <row r="110" ht="10" customHeight="1">
      <c r="A110" s="4" t="n"/>
      <c r="B110" s="4" t="n"/>
      <c r="C110" s="4" t="n"/>
      <c r="D110" s="4" t="n"/>
      <c r="E110" s="4" t="n"/>
      <c r="F110" s="4" t="n"/>
      <c r="G110" s="4" t="n"/>
    </row>
    <row r="111" ht="6" customHeight="1">
      <c r="A111" s="3" t="n"/>
      <c r="B111" s="3" t="n"/>
      <c r="C111" s="3" t="n"/>
      <c r="D111" s="3" t="n"/>
      <c r="E111" s="3" t="n"/>
      <c r="F111" s="3" t="n"/>
      <c r="G111" s="3" t="n"/>
    </row>
    <row r="112" ht="28" customHeight="1">
      <c r="A112" s="79" t="inlineStr">
        <is>
          <t>ИТОГО РАБОТЫ ПО ЗАДАНИЮ  (разделы 1–7)</t>
        </is>
      </c>
      <c r="B112" s="30" t="n"/>
      <c r="C112" s="30" t="n"/>
      <c r="D112" s="30" t="n"/>
      <c r="E112" s="30" t="n"/>
      <c r="F112" s="80">
        <f>F14+F28+F43+F55+F66+F82+F97</f>
        <v/>
      </c>
      <c r="G112" s="30" t="n"/>
    </row>
    <row r="113" ht="22" customHeight="1">
      <c r="A113" s="53" t="inlineStr">
        <is>
          <t>Резерв на непредвиденные работы 5%  (по согласованию)</t>
        </is>
      </c>
      <c r="B113" s="81" t="n"/>
      <c r="C113" s="81" t="n"/>
      <c r="D113" s="81" t="n"/>
      <c r="E113" s="81" t="n"/>
      <c r="F113" s="82">
        <f>ROUND(F112*0.05,0)</f>
        <v/>
      </c>
      <c r="G113" s="81" t="n"/>
    </row>
    <row r="114" ht="22" customHeight="1">
      <c r="A114" s="56" t="inlineStr">
        <is>
          <t>Рекомендуемые работы  (раздел 8)</t>
        </is>
      </c>
      <c r="B114" s="23" t="n"/>
      <c r="C114" s="23" t="n"/>
      <c r="D114" s="23" t="n"/>
      <c r="E114" s="23" t="n"/>
      <c r="F114" s="83">
        <f>F109</f>
        <v/>
      </c>
      <c r="G114" s="23" t="n"/>
    </row>
    <row r="115" ht="32" customHeight="1">
      <c r="A115" s="84" t="inlineStr">
        <is>
          <t>ВСЕГО К ДОГОВОРУ  (задание + резерв 5% + рекомендации)</t>
        </is>
      </c>
      <c r="B115" s="3" t="n"/>
      <c r="C115" s="3" t="n"/>
      <c r="D115" s="3" t="n"/>
      <c r="E115" s="3" t="n"/>
      <c r="F115" s="85">
        <f>F112+F113+F114</f>
        <v/>
      </c>
      <c r="G115" s="3" t="n"/>
    </row>
    <row r="116" ht="36" customHeight="1">
      <c r="A116" s="86" t="inlineStr">
        <is>
          <t>Материалы, сантехнические приборы, плитка, клей, гидроизоляция, инсталляция, ванна, смесители и доставка в итог не входят. Расценки учитывают стеснённость сантехкабины ЛГ-137 и работу в жилой квартире.</t>
        </is>
      </c>
      <c r="B116" s="27" t="n"/>
      <c r="C116" s="27" t="n"/>
      <c r="D116" s="27" t="n"/>
      <c r="E116" s="27" t="n"/>
      <c r="F116" s="27" t="n"/>
      <c r="G116" s="27" t="n"/>
    </row>
    <row r="118">
      <c r="A118" s="87" t="inlineStr">
        <is>
          <t>Составил ________________ / дата</t>
        </is>
      </c>
      <c r="E118" s="87" t="inlineStr">
        <is>
          <t>Заказчик с объёмом и расценками ознакомлен ________________</t>
        </is>
      </c>
    </row>
  </sheetData>
  <mergeCells count="35">
    <mergeCell ref="A114:E114"/>
    <mergeCell ref="A116:G116"/>
    <mergeCell ref="A17:G17"/>
    <mergeCell ref="A118:C118"/>
    <mergeCell ref="A8:G8"/>
    <mergeCell ref="A82:E82"/>
    <mergeCell ref="E118:G118"/>
    <mergeCell ref="A100:G100"/>
    <mergeCell ref="A68:G68"/>
    <mergeCell ref="A58:G58"/>
    <mergeCell ref="A9:G9"/>
    <mergeCell ref="A31:G31"/>
    <mergeCell ref="A30:G30"/>
    <mergeCell ref="A66:E66"/>
    <mergeCell ref="A45:G45"/>
    <mergeCell ref="A55:E55"/>
    <mergeCell ref="A1:G1"/>
    <mergeCell ref="A113:E113"/>
    <mergeCell ref="A69:G69"/>
    <mergeCell ref="A16:G16"/>
    <mergeCell ref="A14:E14"/>
    <mergeCell ref="A97:E97"/>
    <mergeCell ref="A99:G99"/>
    <mergeCell ref="A46:G46"/>
    <mergeCell ref="A84:G84"/>
    <mergeCell ref="A109:E109"/>
    <mergeCell ref="A43:E43"/>
    <mergeCell ref="A3:G3"/>
    <mergeCell ref="A28:E28"/>
    <mergeCell ref="A112:E112"/>
    <mergeCell ref="A2:G2"/>
    <mergeCell ref="A115:E115"/>
    <mergeCell ref="A57:G57"/>
    <mergeCell ref="A85:G85"/>
    <mergeCell ref="A5:G5"/>
  </mergeCells>
  <printOptions horizontalCentered="1"/>
  <pageMargins left="0.5" right="0.5" top="0.7" bottom="0.7" header="0.3" footer="0.3"/>
  <pageSetup orientation="landscape" paperSize="9" fitToHeight="0" fitToWidth="1"/>
  <headerFooter>
    <oddHeader>&amp;L&amp;C&amp;K1B365DРемонт ванной и туалета · ЛГ-137 · только работы&amp;R&amp;K5C6670&amp;D</oddHeader>
    <oddFooter>&amp;L&amp;K5C6670Локальная смета · только работы&amp;C&amp;K5C6670стр. &amp;P из &amp;N&amp;R&amp;K5C6670не является публичной офертой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45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36" customWidth="1" min="7" max="7"/>
    <col width="4" customWidth="1" min="8" max="8"/>
  </cols>
  <sheetData>
    <row r="1" ht="26" customHeight="1">
      <c r="A1" s="30" t="n"/>
      <c r="B1" s="88" t="inlineStr">
        <is>
          <t>РАСЧЁТ ОБЪЁМОВ  ·  ТИПОВАЯ САНТЕХКАБИНА ЛГ-137</t>
        </is>
      </c>
      <c r="H1" s="30" t="n"/>
    </row>
    <row r="2" ht="5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36" customHeight="1">
      <c r="A3" s="4" t="n"/>
      <c r="B3" s="89" t="inlineStr">
        <is>
          <t>Габариты приняты по типовой сантехкабине: ванна 1700×1500 мм, туалет 1200×820 мм, высота 2550 мм, двери 570×1980 мм. После замера объёмы на листе «Смета» правятся вручную.</t>
        </is>
      </c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20" customHeight="1">
      <c r="A5" s="4" t="n"/>
      <c r="B5" s="90" t="inlineStr">
        <is>
          <t>Параметр</t>
        </is>
      </c>
      <c r="C5" s="90" t="inlineStr">
        <is>
          <t>Формула / основание</t>
        </is>
      </c>
      <c r="D5" s="90" t="inlineStr">
        <is>
          <t>Значение</t>
        </is>
      </c>
      <c r="E5" s="90" t="inlineStr">
        <is>
          <t>Ед.</t>
        </is>
      </c>
      <c r="F5" s="90" t="inlineStr">
        <is>
          <t>Куда идёт</t>
        </is>
      </c>
      <c r="G5" s="90" t="inlineStr">
        <is>
          <t>Примечание</t>
        </is>
      </c>
      <c r="H5" s="4" t="n"/>
    </row>
    <row r="6" ht="20" customHeight="1">
      <c r="A6" s="4" t="n"/>
      <c r="B6" s="91" t="inlineStr">
        <is>
          <t>Длина ванной</t>
        </is>
      </c>
      <c r="C6" s="91" t="inlineStr">
        <is>
          <t>типовой ЛГ-137</t>
        </is>
      </c>
      <c r="D6" s="92" t="n">
        <v>1.7</v>
      </c>
      <c r="E6" s="93" t="inlineStr">
        <is>
          <t>м</t>
        </is>
      </c>
      <c r="F6" s="91" t="inlineStr">
        <is>
          <t>стены, пол</t>
        </is>
      </c>
      <c r="G6" s="91" t="inlineStr">
        <is>
          <t>макс. 1,73 м</t>
        </is>
      </c>
      <c r="H6" s="4" t="n"/>
    </row>
    <row r="7" ht="20" customHeight="1">
      <c r="A7" s="4" t="n"/>
      <c r="B7" s="94" t="inlineStr">
        <is>
          <t>Ширина ванной</t>
        </is>
      </c>
      <c r="C7" s="94" t="inlineStr">
        <is>
          <t>типовой ЛГ-137</t>
        </is>
      </c>
      <c r="D7" s="95" t="n">
        <v>1.5</v>
      </c>
      <c r="E7" s="96" t="inlineStr">
        <is>
          <t>м</t>
        </is>
      </c>
      <c r="F7" s="94" t="inlineStr">
        <is>
          <t>стены, пол</t>
        </is>
      </c>
      <c r="G7" s="94" t="inlineStr">
        <is>
          <t>ванна поперёк</t>
        </is>
      </c>
      <c r="H7" s="4" t="n"/>
    </row>
    <row r="8" ht="20" customHeight="1">
      <c r="A8" s="4" t="n"/>
      <c r="B8" s="91" t="inlineStr">
        <is>
          <t>Длина туалета</t>
        </is>
      </c>
      <c r="C8" s="91" t="inlineStr">
        <is>
          <t>типовой ЛГ-137</t>
        </is>
      </c>
      <c r="D8" s="92" t="n">
        <v>1.2</v>
      </c>
      <c r="E8" s="93" t="inlineStr">
        <is>
          <t>м</t>
        </is>
      </c>
      <c r="F8" s="91" t="inlineStr">
        <is>
          <t>стены, пол</t>
        </is>
      </c>
      <c r="G8" s="91" t="inlineStr">
        <is>
          <t>за унитазом вентшахта</t>
        </is>
      </c>
      <c r="H8" s="4" t="n"/>
    </row>
    <row r="9" ht="20" customHeight="1">
      <c r="A9" s="4" t="n"/>
      <c r="B9" s="94" t="inlineStr">
        <is>
          <t>Ширина туалета</t>
        </is>
      </c>
      <c r="C9" s="94" t="inlineStr">
        <is>
          <t>типовой ЛГ-137</t>
        </is>
      </c>
      <c r="D9" s="95" t="n">
        <v>0.82</v>
      </c>
      <c r="E9" s="96" t="inlineStr">
        <is>
          <t>м</t>
        </is>
      </c>
      <c r="F9" s="94" t="inlineStr">
        <is>
          <t>стены, пол</t>
        </is>
      </c>
      <c r="G9" s="94" t="inlineStr">
        <is>
          <t>0,80–0,82 м</t>
        </is>
      </c>
      <c r="H9" s="4" t="n"/>
    </row>
    <row r="10" ht="20" customHeight="1">
      <c r="A10" s="4" t="n"/>
      <c r="B10" s="91" t="inlineStr">
        <is>
          <t>Высота помещений</t>
        </is>
      </c>
      <c r="C10" s="91" t="inlineStr">
        <is>
          <t>сантехкабина</t>
        </is>
      </c>
      <c r="D10" s="92" t="n">
        <v>2.55</v>
      </c>
      <c r="E10" s="93" t="inlineStr">
        <is>
          <t>м</t>
        </is>
      </c>
      <c r="F10" s="91" t="inlineStr">
        <is>
          <t>стены</t>
        </is>
      </c>
      <c r="G10" s="91" t="inlineStr">
        <is>
          <t>потолок не входит в работы</t>
        </is>
      </c>
      <c r="H10" s="4" t="n"/>
    </row>
    <row r="11" ht="20" customHeight="1">
      <c r="A11" s="4" t="n"/>
      <c r="B11" s="94" t="inlineStr">
        <is>
          <t>Дверной проём</t>
        </is>
      </c>
      <c r="C11" s="94" t="inlineStr">
        <is>
          <t>2 шт.</t>
        </is>
      </c>
      <c r="D11" s="96" t="inlineStr">
        <is>
          <t>0.57×1.98</t>
        </is>
      </c>
      <c r="E11" s="96" t="inlineStr">
        <is>
          <t>м</t>
        </is>
      </c>
      <c r="F11" s="94" t="inlineStr">
        <is>
          <t>вычет из стен, пороги</t>
        </is>
      </c>
      <c r="G11" s="94" t="inlineStr">
        <is>
          <t>нестандарт 57 см</t>
        </is>
      </c>
      <c r="H11" s="4" t="n"/>
    </row>
    <row r="12" ht="20" customHeight="1">
      <c r="A12" s="4" t="n"/>
      <c r="B12" s="91" t="inlineStr">
        <is>
          <t>Пол ванной</t>
        </is>
      </c>
      <c r="C12" s="91" t="inlineStr">
        <is>
          <t>1,70 × 1,50</t>
        </is>
      </c>
      <c r="D12" s="92" t="n">
        <v>2.55</v>
      </c>
      <c r="E12" s="93" t="inlineStr">
        <is>
          <t>м²</t>
        </is>
      </c>
      <c r="F12" s="91" t="inlineStr">
        <is>
          <t>п. 5.1–5.3, 6.4</t>
        </is>
      </c>
      <c r="G12" s="91" t="inlineStr"/>
      <c r="H12" s="4" t="n"/>
    </row>
    <row r="13" ht="20" customHeight="1">
      <c r="A13" s="4" t="n"/>
      <c r="B13" s="94" t="inlineStr">
        <is>
          <t>Пол туалета</t>
        </is>
      </c>
      <c r="C13" s="94" t="inlineStr">
        <is>
          <t>1,20 × 0,82</t>
        </is>
      </c>
      <c r="D13" s="95" t="n">
        <v>0.98</v>
      </c>
      <c r="E13" s="96" t="inlineStr">
        <is>
          <t>м²</t>
        </is>
      </c>
      <c r="F13" s="94" t="inlineStr">
        <is>
          <t>п. 5.1–5.3, 6.5</t>
        </is>
      </c>
      <c r="G13" s="94" t="inlineStr"/>
      <c r="H13" s="4" t="n"/>
    </row>
    <row r="14" ht="20" customHeight="1">
      <c r="A14" s="4" t="n"/>
      <c r="B14" s="91" t="inlineStr">
        <is>
          <t>Пол всего</t>
        </is>
      </c>
      <c r="C14" s="91" t="inlineStr">
        <is>
          <t>2,55 + 0,98</t>
        </is>
      </c>
      <c r="D14" s="92" t="n">
        <v>3.53</v>
      </c>
      <c r="E14" s="93" t="inlineStr">
        <is>
          <t>м²</t>
        </is>
      </c>
      <c r="F14" s="91" t="inlineStr">
        <is>
          <t>гидроизоляция, стяжка</t>
        </is>
      </c>
      <c r="G14" s="91" t="inlineStr"/>
      <c r="H14" s="4" t="n"/>
    </row>
    <row r="15" ht="20" customHeight="1">
      <c r="A15" s="4" t="n"/>
      <c r="B15" s="94" t="inlineStr">
        <is>
          <t>Стены ванной</t>
        </is>
      </c>
      <c r="C15" s="94" t="inlineStr">
        <is>
          <t>периметр × H − дверь</t>
        </is>
      </c>
      <c r="D15" s="95" t="n">
        <v>15.19</v>
      </c>
      <c r="E15" s="96" t="inlineStr">
        <is>
          <t>м²</t>
        </is>
      </c>
      <c r="F15" s="94" t="inlineStr">
        <is>
          <t>п. 5.4–5.5, 6.6</t>
        </is>
      </c>
      <c r="G15" s="94" t="inlineStr">
        <is>
          <t>до существующего потолка</t>
        </is>
      </c>
      <c r="H15" s="4" t="n"/>
    </row>
    <row r="16" ht="20" customHeight="1">
      <c r="A16" s="4" t="n"/>
      <c r="B16" s="91" t="inlineStr">
        <is>
          <t>Стены туалета</t>
        </is>
      </c>
      <c r="C16" s="91" t="inlineStr">
        <is>
          <t>периметр × H − дверь</t>
        </is>
      </c>
      <c r="D16" s="92" t="n">
        <v>9.17</v>
      </c>
      <c r="E16" s="93" t="inlineStr">
        <is>
          <t>м²</t>
        </is>
      </c>
      <c r="F16" s="91" t="inlineStr">
        <is>
          <t>п. 5.4–5.5</t>
        </is>
      </c>
      <c r="G16" s="91" t="inlineStr"/>
      <c r="H16" s="4" t="n"/>
    </row>
    <row r="17" ht="20" customHeight="1">
      <c r="A17" s="4" t="n"/>
      <c r="B17" s="94" t="inlineStr">
        <is>
          <t>Стены туалет + короб</t>
        </is>
      </c>
      <c r="C17" s="94" t="inlineStr">
        <is>
          <t>9,17 + 1,50</t>
        </is>
      </c>
      <c r="D17" s="95" t="n">
        <v>10.67</v>
      </c>
      <c r="E17" s="96" t="inlineStr">
        <is>
          <t>м²</t>
        </is>
      </c>
      <c r="F17" s="94" t="inlineStr">
        <is>
          <t>п. 6.7</t>
        </is>
      </c>
      <c r="G17" s="94" t="inlineStr">
        <is>
          <t>плоскость инсталляции</t>
        </is>
      </c>
      <c r="H17" s="4" t="n"/>
    </row>
    <row r="18" ht="20" customHeight="1">
      <c r="A18" s="4" t="n"/>
      <c r="B18" s="91" t="inlineStr">
        <is>
          <t>Гидроизоляция стен до ванны</t>
        </is>
      </c>
      <c r="C18" s="91" t="inlineStr">
        <is>
          <t>(P − дверь) × 0,70</t>
        </is>
      </c>
      <c r="D18" s="92" t="n">
        <v>6.51</v>
      </c>
      <c r="E18" s="93" t="inlineStr">
        <is>
          <t>м²</t>
        </is>
      </c>
      <c r="F18" s="91" t="inlineStr">
        <is>
          <t>п. 5.6</t>
        </is>
      </c>
      <c r="G18" s="91" t="inlineStr">
        <is>
          <t>ванная и туалет</t>
        </is>
      </c>
      <c r="H18" s="4" t="n"/>
    </row>
    <row r="19" ht="20" customHeight="1">
      <c r="A19" s="4" t="n"/>
      <c r="B19" s="94" t="inlineStr">
        <is>
          <t>Зона душа над ванной</t>
        </is>
      </c>
      <c r="C19" s="94" t="inlineStr">
        <is>
          <t>(1,70+0,75) × 1,30</t>
        </is>
      </c>
      <c r="D19" s="95" t="n">
        <v>3.19</v>
      </c>
      <c r="E19" s="96" t="inlineStr">
        <is>
          <t>м²</t>
        </is>
      </c>
      <c r="F19" s="94" t="inlineStr">
        <is>
          <t>п. 5.7</t>
        </is>
      </c>
      <c r="G19" s="94" t="inlineStr">
        <is>
          <t>от 0,70 до 2,00 м</t>
        </is>
      </c>
      <c r="H19" s="4" t="n"/>
    </row>
    <row r="20" ht="20" customHeight="1">
      <c r="A20" s="4" t="n"/>
      <c r="B20" s="91" t="inlineStr">
        <is>
          <t>Затирка</t>
        </is>
      </c>
      <c r="C20" s="91" t="inlineStr">
        <is>
          <t>пол + стены с коробом</t>
        </is>
      </c>
      <c r="D20" s="92" t="n">
        <v>29.39</v>
      </c>
      <c r="E20" s="93" t="inlineStr">
        <is>
          <t>м²</t>
        </is>
      </c>
      <c r="F20" s="91" t="inlineStr">
        <is>
          <t>п. 6.9</t>
        </is>
      </c>
      <c r="G20" s="91" t="inlineStr"/>
      <c r="H20" s="4" t="n"/>
    </row>
    <row r="21" ht="20" customHeight="1">
      <c r="A21" s="4" t="n"/>
      <c r="B21" s="94" t="inlineStr">
        <is>
          <t>Полипропилен ХВС+ГВС</t>
        </is>
      </c>
      <c r="C21" s="94" t="inlineStr">
        <is>
          <t>трасса коллектор → 4 прибора</t>
        </is>
      </c>
      <c r="D21" s="95" t="n">
        <v>32</v>
      </c>
      <c r="E21" s="96" t="inlineStr">
        <is>
          <t>м.п.</t>
        </is>
      </c>
      <c r="F21" s="94" t="inlineStr">
        <is>
          <t>п. 3.5</t>
        </is>
      </c>
      <c r="G21" s="94" t="inlineStr">
        <is>
          <t>с запасом на подводы</t>
        </is>
      </c>
      <c r="H21" s="4" t="n"/>
    </row>
    <row r="22" ht="20" customHeight="1">
      <c r="A22" s="4" t="n"/>
      <c r="B22" s="91" t="inlineStr">
        <is>
          <t>Канализация Ø50</t>
        </is>
      </c>
      <c r="C22" s="91" t="inlineStr">
        <is>
          <t>ванна, раковина, стиралка</t>
        </is>
      </c>
      <c r="D22" s="92" t="n">
        <v>8</v>
      </c>
      <c r="E22" s="93" t="inlineStr">
        <is>
          <t>м.п.</t>
        </is>
      </c>
      <c r="F22" s="91" t="inlineStr">
        <is>
          <t>п. 4.1</t>
        </is>
      </c>
      <c r="G22" s="91" t="inlineStr"/>
      <c r="H22" s="4" t="n"/>
    </row>
    <row r="23" ht="20" customHeight="1">
      <c r="A23" s="4" t="n"/>
      <c r="B23" s="94" t="inlineStr">
        <is>
          <t>Канализация Ø110</t>
        </is>
      </c>
      <c r="C23" s="94" t="inlineStr">
        <is>
          <t>выпуск стояка → инсталляция</t>
        </is>
      </c>
      <c r="D23" s="95" t="n">
        <v>1.5</v>
      </c>
      <c r="E23" s="96" t="inlineStr">
        <is>
          <t>м.п.</t>
        </is>
      </c>
      <c r="F23" s="94" t="inlineStr">
        <is>
          <t>п. 4.2</t>
        </is>
      </c>
      <c r="G23" s="94" t="inlineStr">
        <is>
          <t>стояк не меняем</t>
        </is>
      </c>
      <c r="H23" s="4" t="n"/>
    </row>
    <row r="24" ht="20" customHeight="1">
      <c r="A24" s="4" t="n"/>
      <c r="B24" s="91" t="inlineStr">
        <is>
          <t>Водорозетки</t>
        </is>
      </c>
      <c r="C24" s="91" t="inlineStr">
        <is>
          <t>ванна 2 + раковина 2 + СМ 1 + унитаз 1</t>
        </is>
      </c>
      <c r="D24" s="92" t="n">
        <v>6</v>
      </c>
      <c r="E24" s="93" t="inlineStr">
        <is>
          <t>шт.</t>
        </is>
      </c>
      <c r="F24" s="91" t="inlineStr">
        <is>
          <t>п. 3.6–3.9</t>
        </is>
      </c>
      <c r="G24" s="91" t="inlineStr"/>
      <c r="H24" s="4" t="n"/>
    </row>
    <row r="25" ht="20" customHeight="1">
      <c r="A25" s="4" t="n"/>
      <c r="B25" s="94" t="inlineStr">
        <is>
          <t>Пороги</t>
        </is>
      </c>
      <c r="C25" s="94" t="inlineStr">
        <is>
          <t>два проёма</t>
        </is>
      </c>
      <c r="D25" s="95" t="n">
        <v>2</v>
      </c>
      <c r="E25" s="96" t="inlineStr">
        <is>
          <t>шт.</t>
        </is>
      </c>
      <c r="F25" s="94" t="inlineStr">
        <is>
          <t>п. 6.1–6.3, 6.8</t>
        </is>
      </c>
      <c r="G25" s="94" t="inlineStr">
        <is>
          <t>подбивка + плитка под дверь</t>
        </is>
      </c>
      <c r="H25" s="4" t="n"/>
    </row>
    <row r="26" ht="20" customHeight="1">
      <c r="A26" s="4" t="n"/>
      <c r="B26" s="91" t="inlineStr">
        <is>
          <t>Циклы временного унитаза</t>
        </is>
      </c>
      <c r="C26" s="91" t="inlineStr">
        <is>
          <t>вечерний монтаж + утренний демонтаж</t>
        </is>
      </c>
      <c r="D26" s="92" t="n">
        <v>18</v>
      </c>
      <c r="E26" s="93" t="inlineStr">
        <is>
          <t>цикл</t>
        </is>
      </c>
      <c r="F26" s="91" t="inlineStr">
        <is>
          <t>п. 1.3</t>
        </is>
      </c>
      <c r="G26" s="91" t="inlineStr">
        <is>
          <t>пока нет чаши на инсталляции</t>
        </is>
      </c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97" t="inlineStr">
        <is>
          <t>Точки водоразбора</t>
        </is>
      </c>
      <c r="H29" s="4" t="n"/>
    </row>
    <row r="30">
      <c r="A30" s="4" t="n"/>
      <c r="B30" s="90" t="inlineStr">
        <is>
          <t>Прибор</t>
        </is>
      </c>
      <c r="C30" s="90" t="inlineStr">
        <is>
          <t>ХВС</t>
        </is>
      </c>
      <c r="D30" s="90" t="inlineStr">
        <is>
          <t>ГВС</t>
        </is>
      </c>
      <c r="E30" s="90" t="inlineStr">
        <is>
          <t>Канализация</t>
        </is>
      </c>
      <c r="F30" s="90" t="inlineStr">
        <is>
          <t>Водорозетки</t>
        </is>
      </c>
      <c r="G30" s="90" t="inlineStr">
        <is>
          <t>Комментарий</t>
        </is>
      </c>
      <c r="H30" s="4" t="n"/>
    </row>
    <row r="31" ht="22" customHeight="1">
      <c r="A31" s="4" t="n"/>
      <c r="B31" s="91" t="inlineStr">
        <is>
          <t>Ванна + душ</t>
        </is>
      </c>
      <c r="C31" s="93" t="inlineStr">
        <is>
          <t>да</t>
        </is>
      </c>
      <c r="D31" s="93" t="inlineStr">
        <is>
          <t>да</t>
        </is>
      </c>
      <c r="E31" s="93" t="inlineStr">
        <is>
          <t>Ø50</t>
        </is>
      </c>
      <c r="F31" s="93" t="inlineStr">
        <is>
          <t>2</t>
        </is>
      </c>
      <c r="G31" s="93" t="inlineStr">
        <is>
          <t>Смеситель настенный, душ над ванной</t>
        </is>
      </c>
      <c r="H31" s="4" t="n"/>
    </row>
    <row r="32" ht="22" customHeight="1">
      <c r="A32" s="4" t="n"/>
      <c r="B32" s="98" t="inlineStr">
        <is>
          <t>Раковина</t>
        </is>
      </c>
      <c r="C32" s="99" t="inlineStr">
        <is>
          <t>да</t>
        </is>
      </c>
      <c r="D32" s="99" t="inlineStr">
        <is>
          <t>да</t>
        </is>
      </c>
      <c r="E32" s="99" t="inlineStr">
        <is>
          <t>Ø50</t>
        </is>
      </c>
      <c r="F32" s="99" t="inlineStr">
        <is>
          <t>2</t>
        </is>
      </c>
      <c r="G32" s="99" t="inlineStr">
        <is>
          <t>Смеситель на раковину или настенный</t>
        </is>
      </c>
      <c r="H32" s="4" t="n"/>
    </row>
    <row r="33" ht="22" customHeight="1">
      <c r="A33" s="4" t="n"/>
      <c r="B33" s="91" t="inlineStr">
        <is>
          <t>Стиральная машина</t>
        </is>
      </c>
      <c r="C33" s="93" t="inlineStr">
        <is>
          <t>да</t>
        </is>
      </c>
      <c r="D33" s="93" t="inlineStr">
        <is>
          <t>нет</t>
        </is>
      </c>
      <c r="E33" s="93" t="inlineStr">
        <is>
          <t>Ø50</t>
        </is>
      </c>
      <c r="F33" s="93" t="inlineStr">
        <is>
          <t>1</t>
        </is>
      </c>
      <c r="G33" s="93" t="inlineStr">
        <is>
          <t>Кран на водорозетке</t>
        </is>
      </c>
      <c r="H33" s="4" t="n"/>
    </row>
    <row r="34" ht="22" customHeight="1">
      <c r="A34" s="4" t="n"/>
      <c r="B34" s="98" t="inlineStr">
        <is>
          <t>Унитаз (инсталляция)</t>
        </is>
      </c>
      <c r="C34" s="99" t="inlineStr">
        <is>
          <t>да</t>
        </is>
      </c>
      <c r="D34" s="99" t="inlineStr">
        <is>
          <t>нет</t>
        </is>
      </c>
      <c r="E34" s="99" t="inlineStr">
        <is>
          <t>Ø110</t>
        </is>
      </c>
      <c r="F34" s="99" t="inlineStr">
        <is>
          <t>1</t>
        </is>
      </c>
      <c r="G34" s="99" t="inlineStr">
        <is>
          <t>Подвод к раме, стояк не трогаем</t>
        </is>
      </c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 ht="48" customHeight="1">
      <c r="A36" s="4" t="n"/>
      <c r="B36" s="59" t="inlineStr">
        <is>
          <t>Схема коллектора (каждый стояк): отвод со стояка → шаровый кран → счётчик (существующий) → фильтр стандарт 10" → редуктор давления → обратный клапан → коллектор → отводы на точки. Стояк и полотенцесушитель на стояке ГВС не переделываем.</t>
        </is>
      </c>
      <c r="C36" s="27" t="n"/>
      <c r="D36" s="27" t="n"/>
      <c r="E36" s="27" t="n"/>
      <c r="F36" s="27" t="n"/>
      <c r="G36" s="27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</sheetData>
  <mergeCells count="4">
    <mergeCell ref="B3:G3"/>
    <mergeCell ref="B36:G36"/>
    <mergeCell ref="B29:G29"/>
    <mergeCell ref="B1:G1"/>
  </mergeCells>
  <printOptions horizontalCentered="1"/>
  <pageMargins left="0.5" right="0.5" top="0.7" bottom="0.7" header="0.3" footer="0.3"/>
  <pageSetup orientation="portrait" paperSize="9" fitToHeight="1" fitToWidth="1"/>
  <headerFooter>
    <oddHeader>&amp;L&amp;K1B365DСмета на работы · ЛГ-137&amp;R&amp;K5C6670только работы</oddHeader>
    <oddFooter>&amp;L&amp;K5C6670Объёмы&amp;C&amp;K5C6670стр. &amp;P из &amp;N&amp;R&amp;K5C6670не является публичной офертой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A65D3F"/>
    <outlinePr summaryBelow="1" summaryRight="1"/>
    <pageSetUpPr fitToPage="1"/>
  </sheetPr>
  <dimension ref="A1:D71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8" customWidth="1" min="3" max="3"/>
    <col width="4" customWidth="1" min="4" max="4"/>
  </cols>
  <sheetData>
    <row r="1" ht="26" customHeight="1">
      <c r="A1" s="30" t="n"/>
      <c r="B1" s="88" t="inlineStr">
        <is>
          <t>СОСТАВ РАБОТ, ПОРЯДОК И УСЛОВИЯ ДЛЯ ЗАКАЗЧИКА</t>
        </is>
      </c>
      <c r="D1" s="30" t="n"/>
    </row>
    <row r="2" ht="5" customHeight="1">
      <c r="A2" s="3" t="n"/>
      <c r="B2" s="3" t="n"/>
      <c r="C2" s="3" t="n"/>
      <c r="D2" s="3" t="n"/>
    </row>
    <row r="3">
      <c r="A3" s="4" t="n"/>
      <c r="B3" s="4" t="n"/>
      <c r="C3" s="4" t="n"/>
      <c r="D3" s="4" t="n"/>
    </row>
    <row r="4" ht="20" customHeight="1">
      <c r="A4" s="4" t="n"/>
      <c r="B4" s="51" t="inlineStr">
        <is>
          <t xml:space="preserve">  1. Как устроен объект</t>
        </is>
      </c>
      <c r="C4" s="30" t="n"/>
      <c r="D4" s="4" t="n"/>
    </row>
    <row r="5" ht="36" customHeight="1">
      <c r="A5" s="4" t="n"/>
      <c r="B5" s="91" t="inlineStr">
        <is>
          <t xml:space="preserve">   Дом серии ЛГ-137, раздельный санузел — готовая сантехкабина: тонкие армированные стены, пол кабины ~50 мм, проёмы дверей около 570×1980 мм.</t>
        </is>
      </c>
      <c r="C5" s="9" t="n"/>
      <c r="D5" s="4" t="n"/>
    </row>
    <row r="6" ht="36" customHeight="1">
      <c r="A6" s="4" t="n"/>
      <c r="B6" s="94" t="inlineStr">
        <is>
          <t xml:space="preserve">   Ванна стоит поперёк помещения 1700×1500 мм. Туалет 1200×820 мм: за унитазом стояки, канализация и вентшахта — места мало.</t>
        </is>
      </c>
      <c r="C6" s="100" t="n"/>
      <c r="D6" s="4" t="n"/>
    </row>
    <row r="7" ht="36" customHeight="1">
      <c r="A7" s="4" t="n"/>
      <c r="B7" s="91" t="inlineStr">
        <is>
          <t xml:space="preserve">   Чугунный унитаз обычно зачеканен в раструб стояка и стоит на деревянной закладной в полу. Закладную при ремонте вынимаем и заделываем.</t>
        </is>
      </c>
      <c r="C7" s="9" t="n"/>
      <c r="D7" s="4" t="n"/>
    </row>
    <row r="8">
      <c r="A8" s="4" t="n"/>
      <c r="B8" s="4" t="n"/>
      <c r="C8" s="4" t="n"/>
      <c r="D8" s="4" t="n"/>
    </row>
    <row r="9" ht="20" customHeight="1">
      <c r="A9" s="4" t="n"/>
      <c r="B9" s="51" t="inlineStr">
        <is>
          <t xml:space="preserve">  2. Что сознательно не делаем</t>
        </is>
      </c>
      <c r="C9" s="30" t="n"/>
      <c r="D9" s="4" t="n"/>
    </row>
    <row r="10" ht="36" customHeight="1">
      <c r="A10" s="4" t="n"/>
      <c r="B10" s="91" t="inlineStr">
        <is>
          <t xml:space="preserve">   Не сбиваем плитку. Готовим существующее основание: грунт / бетоноконтакт и выравнивание под новую облицовку.</t>
        </is>
      </c>
      <c r="C10" s="9" t="n"/>
      <c r="D10" s="4" t="n"/>
    </row>
    <row r="11" ht="36" customHeight="1">
      <c r="A11" s="4" t="n"/>
      <c r="B11" s="94" t="inlineStr">
        <is>
          <t xml:space="preserve">   Не трогаем потолок: нет демонтажа, покраски, натяжного или реечного потолка, потолочных светильников.</t>
        </is>
      </c>
      <c r="C11" s="100" t="n"/>
      <c r="D11" s="4" t="n"/>
    </row>
    <row r="12" ht="36" customHeight="1">
      <c r="A12" s="4" t="n"/>
      <c r="B12" s="91" t="inlineStr">
        <is>
          <t xml:space="preserve">   Не меняем стояки холодной и горячей воды и канализационный стояк. Режем только внутриквартирную разводку от отводов.</t>
        </is>
      </c>
      <c r="C12" s="9" t="n"/>
      <c r="D12" s="4" t="n"/>
    </row>
    <row r="13" ht="36" customHeight="1">
      <c r="A13" s="4" t="n"/>
      <c r="B13" s="94" t="inlineStr">
        <is>
          <t xml:space="preserve">   Не расширяем дверные проёмы и не ставим новые двери. Только порог: подбить и положить плитку под полотно.</t>
        </is>
      </c>
      <c r="C13" s="100" t="n"/>
      <c r="D13" s="4" t="n"/>
    </row>
    <row r="14">
      <c r="A14" s="4" t="n"/>
      <c r="B14" s="4" t="n"/>
      <c r="C14" s="4" t="n"/>
      <c r="D14" s="4" t="n"/>
    </row>
    <row r="15" ht="20" customHeight="1">
      <c r="A15" s="4" t="n"/>
      <c r="B15" s="51" t="inlineStr">
        <is>
          <t xml:space="preserve">  3. Проживание во время ремонта</t>
        </is>
      </c>
      <c r="C15" s="30" t="n"/>
      <c r="D15" s="4" t="n"/>
    </row>
    <row r="16" ht="36" customHeight="1">
      <c r="A16" s="4" t="n"/>
      <c r="B16" s="91" t="inlineStr">
        <is>
          <t xml:space="preserve">   Стиральную машину в первый день отключаем и выносим. После чистовых работ возвращаем и подключаем.</t>
        </is>
      </c>
      <c r="C16" s="9" t="n"/>
      <c r="D16" s="4" t="n"/>
    </row>
    <row r="17" ht="36" customHeight="1">
      <c r="A17" s="4" t="n"/>
      <c r="B17" s="94" t="inlineStr">
        <is>
          <t xml:space="preserve">   Унитаз снимаем. Каждый вечер ставим временный (ваш или технический) на выпуск канализации, каждое утро снимаем.</t>
        </is>
      </c>
      <c r="C17" s="100" t="n"/>
      <c r="D17" s="4" t="n"/>
    </row>
    <row r="18" ht="36" customHeight="1">
      <c r="A18" s="4" t="n"/>
      <c r="B18" s="91" t="inlineStr">
        <is>
          <t xml:space="preserve">   В смете 18 циклов — на период, пока не навешена чаша на инсталляцию (инсталляцию ставим рано, чашу — после плитки).</t>
        </is>
      </c>
      <c r="C18" s="9" t="n"/>
      <c r="D18" s="4" t="n"/>
    </row>
    <row r="19" ht="36" customHeight="1">
      <c r="A19" s="4" t="n"/>
      <c r="B19" s="94" t="inlineStr">
        <is>
          <t xml:space="preserve">   Воду по квартире полностью не отключаем: перекрываются отводы. Короткие отключения — по согласованию, обычно утром.</t>
        </is>
      </c>
      <c r="C19" s="100" t="n"/>
      <c r="D19" s="4" t="n"/>
    </row>
    <row r="20" ht="36" customHeight="1">
      <c r="A20" s="4" t="n"/>
      <c r="B20" s="91" t="inlineStr">
        <is>
          <t xml:space="preserve">   Коридор защищаем плёнкой. В конце каждой смены — уборка зоны работ.</t>
        </is>
      </c>
      <c r="C20" s="9" t="n"/>
      <c r="D20" s="4" t="n"/>
    </row>
    <row r="21">
      <c r="A21" s="4" t="n"/>
      <c r="B21" s="4" t="n"/>
      <c r="C21" s="4" t="n"/>
      <c r="D21" s="4" t="n"/>
    </row>
    <row r="22" ht="20" customHeight="1">
      <c r="A22" s="4" t="n"/>
      <c r="B22" s="51" t="inlineStr">
        <is>
          <t xml:space="preserve">  4. Порядок работ (логика, не график поставки)</t>
        </is>
      </c>
      <c r="C22" s="30" t="n"/>
      <c r="D22" s="4" t="n"/>
    </row>
    <row r="23" ht="36" customHeight="1">
      <c r="A23" s="4" t="n"/>
      <c r="B23" s="91" t="inlineStr">
        <is>
          <t xml:space="preserve">   Защита квартиры → вынос стиральной машины и раковины → демонтаж унитаза и постановка временного.</t>
        </is>
      </c>
      <c r="C23" s="9" t="n"/>
      <c r="D23" s="4" t="n"/>
    </row>
    <row r="24" ht="36" customHeight="1">
      <c r="A24" s="4" t="n"/>
      <c r="B24" s="94" t="inlineStr">
        <is>
          <t xml:space="preserve">   Демонтаж чугунной ванны (через проём 57 см чашу обычно режут) и срезка старых труб.</t>
        </is>
      </c>
      <c r="C24" s="100" t="n"/>
      <c r="D24" s="4" t="n"/>
    </row>
    <row r="25" ht="36" customHeight="1">
      <c r="A25" s="4" t="n"/>
      <c r="B25" s="91" t="inlineStr">
        <is>
          <t xml:space="preserve">   Расчеканка чугунного отвода, переход на пластик, коллекторы с фильтрами 10" и редукторами, полипропилен, водорозетки, инсталляция.</t>
        </is>
      </c>
      <c r="C25" s="9" t="n"/>
      <c r="D25" s="4" t="n"/>
    </row>
    <row r="26" ht="36" customHeight="1">
      <c r="A26" s="4" t="n"/>
      <c r="B26" s="94" t="inlineStr">
        <is>
          <t xml:space="preserve">   Опрессовка. Стяжка и гидроизоляция пола, гидроизоляция стен до ванны и зоны душа, выравнивание стен.</t>
        </is>
      </c>
      <c r="C26" s="100" t="n"/>
      <c r="D26" s="4" t="n"/>
    </row>
    <row r="27" ht="36" customHeight="1">
      <c r="A27" s="4" t="n"/>
      <c r="B27" s="91" t="inlineStr">
        <is>
          <t xml:space="preserve">   Подбивка порогов. Керамогранит на пол, плитка на стены и на пороги под двери, экран ванны, затирка.</t>
        </is>
      </c>
      <c r="C27" s="9" t="n"/>
      <c r="D27" s="4" t="n"/>
    </row>
    <row r="28" ht="36" customHeight="1">
      <c r="A28" s="4" t="n"/>
      <c r="B28" s="94" t="inlineStr">
        <is>
          <t xml:space="preserve">   Подиум и занос ванны из наливного камня, смесители, душ, раковина, навеска унитаза, подключение стиральной машины.</t>
        </is>
      </c>
      <c r="C28" s="100" t="n"/>
      <c r="D28" s="4" t="n"/>
    </row>
    <row r="29">
      <c r="A29" s="4" t="n"/>
      <c r="B29" s="4" t="n"/>
      <c r="C29" s="4" t="n"/>
      <c r="D29" s="4" t="n"/>
    </row>
    <row r="30" ht="20" customHeight="1">
      <c r="A30" s="4" t="n"/>
      <c r="B30" s="51" t="inlineStr">
        <is>
          <t xml:space="preserve">  5. Ванна из наливного камня — отдельно</t>
        </is>
      </c>
      <c r="C30" s="30" t="n"/>
      <c r="D30" s="4" t="n"/>
    </row>
    <row r="31" ht="36" customHeight="1">
      <c r="A31" s="4" t="n"/>
      <c r="B31" s="91" t="inlineStr">
        <is>
          <t xml:space="preserve">   Чаша тяжёлая (часто 120–200+ кг). Ставить только на заводские ножки нельзя: делаем опорный подиум / ложемент по контуру.</t>
        </is>
      </c>
      <c r="C31" s="9" t="n"/>
      <c r="D31" s="4" t="n"/>
    </row>
    <row r="32" ht="36" customHeight="1">
      <c r="A32" s="4" t="n"/>
      <c r="B32" s="94" t="inlineStr">
        <is>
          <t xml:space="preserve">   Проём 57 см. Если ванна 70–75 см в ширину, занос через дверь может быть невозможен — тогда через окно (оговаривается на замере, такелаж может быть отдельно).</t>
        </is>
      </c>
      <c r="C32" s="100" t="n"/>
      <c r="D32" s="4" t="n"/>
    </row>
    <row r="33" ht="36" customHeight="1">
      <c r="A33" s="4" t="n"/>
      <c r="B33" s="91" t="inlineStr">
        <is>
          <t xml:space="preserve">   Душ принимаем над ванной: стойка и лейка. Душевая кабина в эти габариты не закладывалась.</t>
        </is>
      </c>
      <c r="C33" s="9" t="n"/>
      <c r="D33" s="4" t="n"/>
    </row>
    <row r="34">
      <c r="A34" s="4" t="n"/>
      <c r="B34" s="4" t="n"/>
      <c r="C34" s="4" t="n"/>
      <c r="D34" s="4" t="n"/>
    </row>
    <row r="35" ht="20" customHeight="1">
      <c r="A35" s="4" t="n"/>
      <c r="B35" s="51" t="inlineStr">
        <is>
          <t xml:space="preserve">  6. Инсталляция в туалете ЛГ-137</t>
        </is>
      </c>
      <c r="C35" s="30" t="n"/>
      <c r="D35" s="4" t="n"/>
    </row>
    <row r="36" ht="36" customHeight="1">
      <c r="A36" s="4" t="n"/>
      <c r="B36" s="91" t="inlineStr">
        <is>
          <t xml:space="preserve">   Подвесной унитаз даёт +5–10 см до двери — в этом туалете это важно.</t>
        </is>
      </c>
      <c r="C36" s="9" t="n"/>
      <c r="D36" s="4" t="n"/>
    </row>
    <row r="37" ht="36" customHeight="1">
      <c r="A37" s="4" t="n"/>
      <c r="B37" s="94" t="inlineStr">
        <is>
          <t xml:space="preserve">   Чтобы опустить выпуск, чугунный отвод расчеканиваем и ставим пластиковый переход. Стояк при этом не меняем. Работа деликатная: чугун хрупкий.</t>
        </is>
      </c>
      <c r="C37" s="100" t="n"/>
      <c r="D37" s="4" t="n"/>
    </row>
    <row r="38" ht="36" customHeight="1">
      <c r="A38" s="4" t="n"/>
      <c r="B38" s="91" t="inlineStr">
        <is>
          <t xml:space="preserve">   После облицовки короба — кнопка и чаша. До этого момента действует режим временного унитаза.</t>
        </is>
      </c>
      <c r="C38" s="9" t="n"/>
      <c r="D38" s="4" t="n"/>
    </row>
    <row r="39">
      <c r="A39" s="4" t="n"/>
      <c r="B39" s="4" t="n"/>
      <c r="C39" s="4" t="n"/>
      <c r="D39" s="4" t="n"/>
    </row>
    <row r="40" ht="20" customHeight="1">
      <c r="A40" s="4" t="n"/>
      <c r="B40" s="51" t="inlineStr">
        <is>
          <t xml:space="preserve">  7. Что заказчик закупает сам (работы без материалов)</t>
        </is>
      </c>
      <c r="C40" s="30" t="n"/>
      <c r="D40" s="4" t="n"/>
    </row>
    <row r="41" ht="36" customHeight="1">
      <c r="A41" s="4" t="n"/>
      <c r="B41" s="91" t="inlineStr">
        <is>
          <t xml:space="preserve">   Трубы ПП и фитинги, коллекторы, корпуса фильтров 10" и картриджи, редукторы, краны, водорозетки, канализационные трубы.</t>
        </is>
      </c>
      <c r="C41" s="9" t="n"/>
      <c r="D41" s="4" t="n"/>
    </row>
    <row r="42" ht="36" customHeight="1">
      <c r="A42" s="4" t="n"/>
      <c r="B42" s="94" t="inlineStr">
        <is>
          <t xml:space="preserve">   Инсталляция с кнопкой и унитаз, раковина, смесители, душевой комплект, сифоны, ванна из наливного камня, слив-перелив.</t>
        </is>
      </c>
      <c r="C42" s="100" t="n"/>
      <c r="D42" s="4" t="n"/>
    </row>
    <row r="43" ht="36" customHeight="1">
      <c r="A43" s="4" t="n"/>
      <c r="B43" s="91" t="inlineStr">
        <is>
          <t xml:space="preserve">   Грунты, штукатурка, стяжка, обмазочная гидроизоляция, ленты, клей, затирка, силикон, ГВЛ, люки.</t>
        </is>
      </c>
      <c r="C43" s="9" t="n"/>
      <c r="D43" s="4" t="n"/>
    </row>
    <row r="44" ht="36" customHeight="1">
      <c r="A44" s="4" t="n"/>
      <c r="B44" s="94" t="inlineStr">
        <is>
          <t xml:space="preserve">   Керамогранит на пол, плитка на стены, раскладки, люки ревизии. Запас плитки 10–15% из-за подрезки в маленьких помещениях.</t>
        </is>
      </c>
      <c r="C44" s="100" t="n"/>
      <c r="D44" s="4" t="n"/>
    </row>
    <row r="45">
      <c r="A45" s="4" t="n"/>
      <c r="B45" s="4" t="n"/>
      <c r="C45" s="4" t="n"/>
      <c r="D45" s="4" t="n"/>
    </row>
    <row r="46" ht="20" customHeight="1">
      <c r="A46" s="4" t="n"/>
      <c r="B46" s="51" t="inlineStr">
        <is>
          <t xml:space="preserve">  8. Рекомендуемый блок (раздел 8)</t>
        </is>
      </c>
      <c r="C46" s="30" t="n"/>
      <c r="D46" s="4" t="n"/>
    </row>
    <row r="47" ht="36" customHeight="1">
      <c r="A47" s="4" t="n"/>
      <c r="B47" s="91" t="inlineStr">
        <is>
          <t xml:space="preserve">   Короб стояков с люком — иначе коллекторы и фильтры остаются открытыми.</t>
        </is>
      </c>
      <c r="C47" s="9" t="n"/>
      <c r="D47" s="4" t="n"/>
    </row>
    <row r="48" ht="36" customHeight="1">
      <c r="A48" s="4" t="n"/>
      <c r="B48" s="94" t="inlineStr">
        <is>
          <t xml:space="preserve">   Вентилятор в существующий канал: окна плотные, естественной тяги после ремонта часто не хватает. Потолок не разбираем.</t>
        </is>
      </c>
      <c r="C48" s="100" t="n"/>
      <c r="D48" s="4" t="n"/>
    </row>
    <row r="49" ht="36" customHeight="1">
      <c r="A49" s="4" t="n"/>
      <c r="B49" s="91" t="inlineStr">
        <is>
          <t xml:space="preserve">   Розетки IP44 и УЗО на стиральную машину — норма для мокрой зоны, в домах до 2000-х заземления в кабине часто нет.</t>
        </is>
      </c>
      <c r="C49" s="9" t="n"/>
      <c r="D49" s="4" t="n"/>
    </row>
    <row r="50" ht="36" customHeight="1">
      <c r="A50" s="4" t="n"/>
      <c r="B50" s="94" t="inlineStr">
        <is>
          <t xml:space="preserve">   Стеклянная шторка — чтобы душ над ванной не заливал пол у порога.</t>
        </is>
      </c>
      <c r="C50" s="100" t="n"/>
      <c r="D50" s="4" t="n"/>
    </row>
    <row r="51">
      <c r="A51" s="4" t="n"/>
      <c r="B51" s="4" t="n"/>
      <c r="C51" s="4" t="n"/>
      <c r="D51" s="4" t="n"/>
    </row>
    <row r="52" ht="20" customHeight="1">
      <c r="A52" s="4" t="n"/>
      <c r="B52" s="51" t="inlineStr">
        <is>
          <t xml:space="preserve">  9. Риски, которые лучше знать заранее</t>
        </is>
      </c>
      <c r="C52" s="30" t="n"/>
      <c r="D52" s="4" t="n"/>
    </row>
    <row r="53" ht="36" customHeight="1">
      <c r="A53" s="4" t="n"/>
      <c r="B53" s="91" t="inlineStr">
        <is>
          <t xml:space="preserve">   При демонтаже унитаза можно повредить чугунный раструб стояка. В смете заложена аккуратная расчеканка; ремонт самого стояка — вне объёма.</t>
        </is>
      </c>
      <c r="C53" s="9" t="n"/>
      <c r="D53" s="4" t="n"/>
    </row>
    <row r="54" ht="36" customHeight="1">
      <c r="A54" s="4" t="n"/>
      <c r="B54" s="94" t="inlineStr">
        <is>
          <t xml:space="preserve">   Стены кабины тонкие и армированные, отверстия под водорозетки могут быть сквозными — крепим площадки, не «на дюбель в пустоту».</t>
        </is>
      </c>
      <c r="C54" s="100" t="n"/>
      <c r="D54" s="4" t="n"/>
    </row>
    <row r="55" ht="36" customHeight="1">
      <c r="A55" s="4" t="n"/>
      <c r="B55" s="91" t="inlineStr">
        <is>
          <t xml:space="preserve">   Если старая плитка держится плохо, выравнивание без демонтажа может не получиться. Тогда сбивка плитки — доп. соглашение (сейчас не входит).</t>
        </is>
      </c>
      <c r="C55" s="9" t="n"/>
      <c r="D55" s="4" t="n"/>
    </row>
    <row r="56" ht="36" customHeight="1">
      <c r="A56" s="4" t="n"/>
      <c r="B56" s="94" t="inlineStr">
        <is>
          <t xml:space="preserve">   Расценки — ориентир рынка СПб 2026 для стеснённых санузлов. Итог фиксируется после замера и выбора сантехники.</t>
        </is>
      </c>
      <c r="C56" s="100" t="n"/>
      <c r="D56" s="4" t="n"/>
    </row>
    <row r="57">
      <c r="A57" s="4" t="n"/>
      <c r="B57" s="4" t="n"/>
      <c r="C57" s="4" t="n"/>
      <c r="D57" s="4" t="n"/>
    </row>
    <row r="58" ht="20" customHeight="1">
      <c r="A58" s="4" t="n"/>
      <c r="B58" s="51" t="inlineStr">
        <is>
          <t xml:space="preserve">  10. Оплата и гарантия (типовые условия, вносятся в договор)</t>
        </is>
      </c>
      <c r="C58" s="30" t="n"/>
      <c r="D58" s="4" t="n"/>
    </row>
    <row r="59" ht="36" customHeight="1">
      <c r="A59" s="4" t="n"/>
      <c r="B59" s="91" t="inlineStr">
        <is>
          <t xml:space="preserve">   Смета — приложение к договору. Цены на работы, не на материалы.</t>
        </is>
      </c>
      <c r="C59" s="9" t="n"/>
      <c r="D59" s="4" t="n"/>
    </row>
    <row r="60" ht="36" customHeight="1">
      <c r="A60" s="4" t="n"/>
      <c r="B60" s="94" t="inlineStr">
        <is>
          <t xml:space="preserve">   Типовой график: 40% аванс на выход бригады, 40% после скрытых работ и опрессовки, 20% по акту сдачи.</t>
        </is>
      </c>
      <c r="C60" s="100" t="n"/>
      <c r="D60" s="4" t="n"/>
    </row>
    <row r="61" ht="36" customHeight="1">
      <c r="A61" s="4" t="n"/>
      <c r="B61" s="91" t="inlineStr">
        <is>
          <t xml:space="preserve">   Гарантия на работы: 24 месяца на сантехническую разводку и гидроизоляцию, 12 месяцев на облицовку и монтаж приборов — при эксплуатации по нормам.</t>
        </is>
      </c>
      <c r="C61" s="9" t="n"/>
      <c r="D61" s="4" t="n"/>
    </row>
    <row r="62" ht="36" customHeight="1">
      <c r="A62" s="4" t="n"/>
      <c r="B62" s="94" t="inlineStr">
        <is>
          <t xml:space="preserve">   Скрытые работы фотофиксируем до закрытия. Опрессовка — до облицовки коробов.</t>
        </is>
      </c>
      <c r="C62" s="100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</sheetData>
  <mergeCells count="51">
    <mergeCell ref="B47:C47"/>
    <mergeCell ref="B16:C16"/>
    <mergeCell ref="B54:C54"/>
    <mergeCell ref="B62:C62"/>
    <mergeCell ref="B7:C7"/>
    <mergeCell ref="B25:C25"/>
    <mergeCell ref="B59:C59"/>
    <mergeCell ref="B46:C46"/>
    <mergeCell ref="B22:C22"/>
    <mergeCell ref="B31:C31"/>
    <mergeCell ref="B18:C18"/>
    <mergeCell ref="B27:C27"/>
    <mergeCell ref="B56:C56"/>
    <mergeCell ref="B43:C43"/>
    <mergeCell ref="B12:C12"/>
    <mergeCell ref="B58:C58"/>
    <mergeCell ref="B52:C52"/>
    <mergeCell ref="B48:C48"/>
    <mergeCell ref="B11:C11"/>
    <mergeCell ref="B42:C42"/>
    <mergeCell ref="B23:C23"/>
    <mergeCell ref="B61:C61"/>
    <mergeCell ref="B60:C60"/>
    <mergeCell ref="B17:C17"/>
    <mergeCell ref="B1:C1"/>
    <mergeCell ref="B53:C53"/>
    <mergeCell ref="B13:C13"/>
    <mergeCell ref="B38:C38"/>
    <mergeCell ref="B44:C44"/>
    <mergeCell ref="B19:C19"/>
    <mergeCell ref="B37:C37"/>
    <mergeCell ref="B10:C10"/>
    <mergeCell ref="B28:C28"/>
    <mergeCell ref="B40:C40"/>
    <mergeCell ref="B9:C9"/>
    <mergeCell ref="B49:C49"/>
    <mergeCell ref="B55:C55"/>
    <mergeCell ref="B6:C6"/>
    <mergeCell ref="B24:C24"/>
    <mergeCell ref="B30:C30"/>
    <mergeCell ref="B15:C15"/>
    <mergeCell ref="B33:C33"/>
    <mergeCell ref="B5:C5"/>
    <mergeCell ref="B20:C20"/>
    <mergeCell ref="B36:C36"/>
    <mergeCell ref="B32:C32"/>
    <mergeCell ref="B50:C50"/>
    <mergeCell ref="B26:C26"/>
    <mergeCell ref="B41:C41"/>
    <mergeCell ref="B35:C35"/>
    <mergeCell ref="B4:C4"/>
  </mergeCells>
  <printOptions horizontalCentered="1"/>
  <pageMargins left="0.5" right="0.5" top="0.7" bottom="0.7" header="0.3" footer="0.3"/>
  <pageSetup orientation="portrait" paperSize="9" fitToHeight="1" fitToWidth="1"/>
  <headerFooter>
    <oddHeader>&amp;L&amp;K1B365DСмета на работы · ЛГ-137&amp;R&amp;K5C6670только работы</oddHeader>
    <oddFooter>&amp;L&amp;K5C6670Условия&amp;C&amp;K5C6670стр. &amp;P из &amp;N&amp;R&amp;K5C6670не является публичной офертой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6D3A3"/>
    <outlinePr summaryBelow="1" summaryRight="1"/>
    <pageSetUpPr fitToPage="1"/>
  </sheetPr>
  <dimension ref="A1:G69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2" customWidth="1" min="3" max="3"/>
    <col width="22" customWidth="1" min="4" max="4"/>
    <col width="28" customWidth="1" min="5" max="5"/>
    <col width="12" customWidth="1" min="6" max="6"/>
    <col width="4" customWidth="1" min="7" max="7"/>
  </cols>
  <sheetData>
    <row r="1" ht="26" customHeight="1">
      <c r="A1" s="30" t="n"/>
      <c r="B1" s="88" t="inlineStr">
        <is>
          <t>ЧЕК-ЛИСТ ЗАКУПКИ ЗАКАЗЧИКА  ·  В СМЕТУ РАБОТ НЕ ВХОДИТ</t>
        </is>
      </c>
      <c r="G1" s="30" t="n"/>
    </row>
    <row r="2" ht="5" customHeight="1">
      <c r="A2" s="3" t="n"/>
      <c r="B2" s="3" t="n"/>
      <c r="C2" s="3" t="n"/>
      <c r="D2" s="3" t="n"/>
      <c r="E2" s="3" t="n"/>
      <c r="F2" s="3" t="n"/>
      <c r="G2" s="3" t="n"/>
    </row>
    <row r="3" ht="36" customHeight="1">
      <c r="A3" s="4" t="n"/>
      <c r="B3" s="89" t="inlineStr">
        <is>
          <t>Это не смета материалов и не цены. Список того, что нужно привезти на объект, чтобы бригада могла выполнить работы. Марку и модель выбираете вы (или вместе на замере).</t>
        </is>
      </c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 ht="20" customHeight="1">
      <c r="A5" s="4" t="n"/>
      <c r="B5" s="90" t="inlineStr">
        <is>
          <t>Код</t>
        </is>
      </c>
      <c r="C5" s="90" t="inlineStr">
        <is>
          <t>Позиция</t>
        </is>
      </c>
      <c r="D5" s="90" t="inlineStr">
        <is>
          <t>Количество / ориентир</t>
        </is>
      </c>
      <c r="E5" s="90" t="inlineStr">
        <is>
          <t>Для каких работ</t>
        </is>
      </c>
      <c r="F5" s="90" t="inlineStr">
        <is>
          <t>✓</t>
        </is>
      </c>
      <c r="G5" s="4" t="n"/>
    </row>
    <row r="6" ht="20" customHeight="1">
      <c r="A6" s="4" t="n"/>
      <c r="B6" s="101" t="inlineStr">
        <is>
          <t xml:space="preserve">  ВОДА И КАНАЛИЗАЦИЯ</t>
        </is>
      </c>
      <c r="C6" s="30" t="n"/>
      <c r="D6" s="30" t="n"/>
      <c r="E6" s="30" t="n"/>
      <c r="F6" s="30" t="n"/>
      <c r="G6" s="4" t="n"/>
    </row>
    <row r="7" ht="22" customHeight="1">
      <c r="A7" s="4" t="n"/>
      <c r="B7" s="102" t="inlineStr">
        <is>
          <t>К-01</t>
        </is>
      </c>
      <c r="C7" s="91" t="inlineStr">
        <is>
          <t>Коллекторы ХВС и ГВС (по числу отводов, обычно 3+3 или 4+2)</t>
        </is>
      </c>
      <c r="D7" s="93" t="inlineStr">
        <is>
          <t>2 шт.</t>
        </is>
      </c>
      <c r="E7" s="91" t="inlineStr">
        <is>
          <t>п. 3.1–3.2</t>
        </is>
      </c>
      <c r="F7" s="93" t="inlineStr">
        <is>
          <t>☐</t>
        </is>
      </c>
      <c r="G7" s="4" t="n"/>
    </row>
    <row r="8" ht="22" customHeight="1">
      <c r="A8" s="4" t="n"/>
      <c r="B8" s="103" t="inlineStr">
        <is>
          <t>К-02</t>
        </is>
      </c>
      <c r="C8" s="94" t="inlineStr">
        <is>
          <t>Фильтры стандарт 10" (корпус + картридж) на ХВС и ГВС</t>
        </is>
      </c>
      <c r="D8" s="96" t="inlineStr">
        <is>
          <t>2 шт.</t>
        </is>
      </c>
      <c r="E8" s="94" t="inlineStr">
        <is>
          <t>п. 3.1–3.2</t>
        </is>
      </c>
      <c r="F8" s="96" t="inlineStr">
        <is>
          <t>☐</t>
        </is>
      </c>
      <c r="G8" s="4" t="n"/>
    </row>
    <row r="9" ht="22" customHeight="1">
      <c r="A9" s="4" t="n"/>
      <c r="B9" s="102" t="inlineStr">
        <is>
          <t>К-03</t>
        </is>
      </c>
      <c r="C9" s="91" t="inlineStr">
        <is>
          <t>Редукторы давления ХВС и ГВС</t>
        </is>
      </c>
      <c r="D9" s="93" t="inlineStr">
        <is>
          <t>2 шт.</t>
        </is>
      </c>
      <c r="E9" s="91" t="inlineStr">
        <is>
          <t>п. 3.1–3.2</t>
        </is>
      </c>
      <c r="F9" s="93" t="inlineStr">
        <is>
          <t>☐</t>
        </is>
      </c>
      <c r="G9" s="4" t="n"/>
    </row>
    <row r="10" ht="22" customHeight="1">
      <c r="A10" s="4" t="n"/>
      <c r="B10" s="103" t="inlineStr">
        <is>
          <t>К-04</t>
        </is>
      </c>
      <c r="C10" s="94" t="inlineStr">
        <is>
          <t>Шаровые краны, американки, обратные клапаны, прокладки</t>
        </is>
      </c>
      <c r="D10" s="96" t="inlineStr">
        <is>
          <t>комплект</t>
        </is>
      </c>
      <c r="E10" s="94" t="inlineStr">
        <is>
          <t>п. 3.3</t>
        </is>
      </c>
      <c r="F10" s="96" t="inlineStr">
        <is>
          <t>☐</t>
        </is>
      </c>
      <c r="G10" s="4" t="n"/>
    </row>
    <row r="11" ht="22" customHeight="1">
      <c r="A11" s="4" t="n"/>
      <c r="B11" s="102" t="inlineStr">
        <is>
          <t>К-05</t>
        </is>
      </c>
      <c r="C11" s="91" t="inlineStr">
        <is>
          <t>Ревизионный шкаф / люк под коллекторы и фильтры</t>
        </is>
      </c>
      <c r="D11" s="93" t="inlineStr">
        <is>
          <t>1 шт.</t>
        </is>
      </c>
      <c r="E11" s="91" t="inlineStr">
        <is>
          <t>п. 3.4</t>
        </is>
      </c>
      <c r="F11" s="93" t="inlineStr">
        <is>
          <t>☐</t>
        </is>
      </c>
      <c r="G11" s="4" t="n"/>
    </row>
    <row r="12" ht="22" customHeight="1">
      <c r="A12" s="4" t="n"/>
      <c r="B12" s="103" t="inlineStr">
        <is>
          <t>К-06</t>
        </is>
      </c>
      <c r="C12" s="94" t="inlineStr">
        <is>
          <t>Труба полипропилен PN20 + фитинги, клипсы, теплоизоляция ГВС</t>
        </is>
      </c>
      <c r="D12" s="96" t="inlineStr">
        <is>
          <t>≈ 32 м + фитинги</t>
        </is>
      </c>
      <c r="E12" s="94" t="inlineStr">
        <is>
          <t>п. 3.5</t>
        </is>
      </c>
      <c r="F12" s="96" t="inlineStr">
        <is>
          <t>☐</t>
        </is>
      </c>
      <c r="G12" s="4" t="n"/>
    </row>
    <row r="13" ht="22" customHeight="1">
      <c r="A13" s="4" t="n"/>
      <c r="B13" s="102" t="inlineStr">
        <is>
          <t>К-07</t>
        </is>
      </c>
      <c r="C13" s="91" t="inlineStr">
        <is>
          <t>Водорозетки (внутренняя резьба 1/2")</t>
        </is>
      </c>
      <c r="D13" s="93" t="inlineStr">
        <is>
          <t>6 шт.</t>
        </is>
      </c>
      <c r="E13" s="91" t="inlineStr">
        <is>
          <t>п. 3.6–3.9</t>
        </is>
      </c>
      <c r="F13" s="93" t="inlineStr">
        <is>
          <t>☐</t>
        </is>
      </c>
      <c r="G13" s="4" t="n"/>
    </row>
    <row r="14" ht="22" customHeight="1">
      <c r="A14" s="4" t="n"/>
      <c r="B14" s="103" t="inlineStr">
        <is>
          <t>К-08</t>
        </is>
      </c>
      <c r="C14" s="94" t="inlineStr">
        <is>
          <t>Кран угловой на стиральную машину</t>
        </is>
      </c>
      <c r="D14" s="96" t="inlineStr">
        <is>
          <t>1 шт.</t>
        </is>
      </c>
      <c r="E14" s="94" t="inlineStr">
        <is>
          <t>п. 3.8</t>
        </is>
      </c>
      <c r="F14" s="96" t="inlineStr">
        <is>
          <t>☐</t>
        </is>
      </c>
      <c r="G14" s="4" t="n"/>
    </row>
    <row r="15" ht="22" customHeight="1">
      <c r="A15" s="4" t="n"/>
      <c r="B15" s="102" t="inlineStr">
        <is>
          <t>К-09</t>
        </is>
      </c>
      <c r="C15" s="91" t="inlineStr">
        <is>
          <t>Канализация ПВХ Ø50, Ø110, отводы, манжеты на чугун</t>
        </is>
      </c>
      <c r="D15" s="93" t="inlineStr">
        <is>
          <t>Ø50 ≈ 8 м, Ø110 ≈ 1,5 м</t>
        </is>
      </c>
      <c r="E15" s="91" t="inlineStr">
        <is>
          <t>п. 4.1–4.3</t>
        </is>
      </c>
      <c r="F15" s="93" t="inlineStr">
        <is>
          <t>☐</t>
        </is>
      </c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 ht="20" customHeight="1">
      <c r="A17" s="4" t="n"/>
      <c r="B17" s="101" t="inlineStr">
        <is>
          <t xml:space="preserve">  ИНСТАЛЛЯЦИЯ И САНТЕХНИКА</t>
        </is>
      </c>
      <c r="C17" s="30" t="n"/>
      <c r="D17" s="30" t="n"/>
      <c r="E17" s="30" t="n"/>
      <c r="F17" s="30" t="n"/>
      <c r="G17" s="4" t="n"/>
    </row>
    <row r="18" ht="22" customHeight="1">
      <c r="A18" s="4" t="n"/>
      <c r="B18" s="102" t="inlineStr">
        <is>
          <t>С-01</t>
        </is>
      </c>
      <c r="C18" s="91" t="inlineStr">
        <is>
          <t>Инсталляция для подвесного унитаза + кнопка</t>
        </is>
      </c>
      <c r="D18" s="93" t="inlineStr">
        <is>
          <t>1 компл.</t>
        </is>
      </c>
      <c r="E18" s="91" t="inlineStr">
        <is>
          <t>п. 4.4–4.8</t>
        </is>
      </c>
      <c r="F18" s="93" t="inlineStr">
        <is>
          <t>☐</t>
        </is>
      </c>
      <c r="G18" s="4" t="n"/>
    </row>
    <row r="19" ht="22" customHeight="1">
      <c r="A19" s="4" t="n"/>
      <c r="B19" s="103" t="inlineStr">
        <is>
          <t>С-02</t>
        </is>
      </c>
      <c r="C19" s="94" t="inlineStr">
        <is>
          <t>Унитаз подвесной совместимый с инсталляцией</t>
        </is>
      </c>
      <c r="D19" s="96" t="inlineStr">
        <is>
          <t>1 шт.</t>
        </is>
      </c>
      <c r="E19" s="94" t="inlineStr">
        <is>
          <t>п. 7.9</t>
        </is>
      </c>
      <c r="F19" s="96" t="inlineStr">
        <is>
          <t>☐</t>
        </is>
      </c>
      <c r="G19" s="4" t="n"/>
    </row>
    <row r="20" ht="22" customHeight="1">
      <c r="A20" s="4" t="n"/>
      <c r="B20" s="102" t="inlineStr">
        <is>
          <t>С-03</t>
        </is>
      </c>
      <c r="C20" s="91" t="inlineStr">
        <is>
          <t>Ванна из наливного камня (проверить проход в проём 57 см / окно)</t>
        </is>
      </c>
      <c r="D20" s="93" t="inlineStr">
        <is>
          <t>1 шт.</t>
        </is>
      </c>
      <c r="E20" s="91" t="inlineStr">
        <is>
          <t>п. 7.1–7.3</t>
        </is>
      </c>
      <c r="F20" s="93" t="inlineStr">
        <is>
          <t>☐</t>
        </is>
      </c>
      <c r="G20" s="4" t="n"/>
    </row>
    <row r="21" ht="22" customHeight="1">
      <c r="A21" s="4" t="n"/>
      <c r="B21" s="103" t="inlineStr">
        <is>
          <t>С-04</t>
        </is>
      </c>
      <c r="C21" s="94" t="inlineStr">
        <is>
          <t>Слив-перелив и сифон ванны под выбранную модель</t>
        </is>
      </c>
      <c r="D21" s="96" t="inlineStr">
        <is>
          <t>1 шт.</t>
        </is>
      </c>
      <c r="E21" s="94" t="inlineStr">
        <is>
          <t>п. 7.4</t>
        </is>
      </c>
      <c r="F21" s="96" t="inlineStr">
        <is>
          <t>☐</t>
        </is>
      </c>
      <c r="G21" s="4" t="n"/>
    </row>
    <row r="22" ht="22" customHeight="1">
      <c r="A22" s="4" t="n"/>
      <c r="B22" s="102" t="inlineStr">
        <is>
          <t>С-05</t>
        </is>
      </c>
      <c r="C22" s="91" t="inlineStr">
        <is>
          <t>Смеситель на ванну</t>
        </is>
      </c>
      <c r="D22" s="93" t="inlineStr">
        <is>
          <t>1 шт.</t>
        </is>
      </c>
      <c r="E22" s="91" t="inlineStr">
        <is>
          <t>п. 7.5</t>
        </is>
      </c>
      <c r="F22" s="93" t="inlineStr">
        <is>
          <t>☐</t>
        </is>
      </c>
      <c r="G22" s="4" t="n"/>
    </row>
    <row r="23" ht="22" customHeight="1">
      <c r="A23" s="4" t="n"/>
      <c r="B23" s="103" t="inlineStr">
        <is>
          <t>С-06</t>
        </is>
      </c>
      <c r="C23" s="94" t="inlineStr">
        <is>
          <t>Душевой комплект: стойка / лейка / шланг / держатель</t>
        </is>
      </c>
      <c r="D23" s="96" t="inlineStr">
        <is>
          <t>1 шт.</t>
        </is>
      </c>
      <c r="E23" s="94" t="inlineStr">
        <is>
          <t>п. 7.6</t>
        </is>
      </c>
      <c r="F23" s="96" t="inlineStr">
        <is>
          <t>☐</t>
        </is>
      </c>
      <c r="G23" s="4" t="n"/>
    </row>
    <row r="24" ht="22" customHeight="1">
      <c r="A24" s="4" t="n"/>
      <c r="B24" s="102" t="inlineStr">
        <is>
          <t>С-07</t>
        </is>
      </c>
      <c r="C24" s="91" t="inlineStr">
        <is>
          <t>Раковина + крепёж + сифон</t>
        </is>
      </c>
      <c r="D24" s="93" t="inlineStr">
        <is>
          <t>1 шт.</t>
        </is>
      </c>
      <c r="E24" s="91" t="inlineStr">
        <is>
          <t>п. 7.7</t>
        </is>
      </c>
      <c r="F24" s="93" t="inlineStr">
        <is>
          <t>☐</t>
        </is>
      </c>
      <c r="G24" s="4" t="n"/>
    </row>
    <row r="25" ht="22" customHeight="1">
      <c r="A25" s="4" t="n"/>
      <c r="B25" s="103" t="inlineStr">
        <is>
          <t>С-08</t>
        </is>
      </c>
      <c r="C25" s="94" t="inlineStr">
        <is>
          <t>Смеситель раковины</t>
        </is>
      </c>
      <c r="D25" s="96" t="inlineStr">
        <is>
          <t>1 шт.</t>
        </is>
      </c>
      <c r="E25" s="94" t="inlineStr">
        <is>
          <t>п. 7.8</t>
        </is>
      </c>
      <c r="F25" s="96" t="inlineStr">
        <is>
          <t>☐</t>
        </is>
      </c>
      <c r="G25" s="4" t="n"/>
    </row>
    <row r="26" ht="22" customHeight="1">
      <c r="A26" s="4" t="n"/>
      <c r="B26" s="102" t="inlineStr">
        <is>
          <t>С-09</t>
        </is>
      </c>
      <c r="C26" s="91" t="inlineStr">
        <is>
          <t>Люк ревизии экрана ванны, люк кнопки инсталляции</t>
        </is>
      </c>
      <c r="D26" s="93" t="inlineStr">
        <is>
          <t>2 шт.</t>
        </is>
      </c>
      <c r="E26" s="91" t="inlineStr">
        <is>
          <t>п. 4.7, 6.11</t>
        </is>
      </c>
      <c r="F26" s="93" t="inlineStr">
        <is>
          <t>☐</t>
        </is>
      </c>
      <c r="G26" s="4" t="n"/>
    </row>
    <row r="27" ht="22" customHeight="1">
      <c r="A27" s="4" t="n"/>
      <c r="B27" s="103" t="inlineStr">
        <is>
          <t>С-10</t>
        </is>
      </c>
      <c r="C27" s="94" t="inlineStr">
        <is>
          <t>Стеклянная шторка на ванну (если берёте п. 8.7)</t>
        </is>
      </c>
      <c r="D27" s="96" t="inlineStr">
        <is>
          <t>1 шт.</t>
        </is>
      </c>
      <c r="E27" s="94" t="inlineStr">
        <is>
          <t>п. 8.7</t>
        </is>
      </c>
      <c r="F27" s="96" t="inlineStr">
        <is>
          <t>☐</t>
        </is>
      </c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 ht="20" customHeight="1">
      <c r="A29" s="4" t="n"/>
      <c r="B29" s="101" t="inlineStr">
        <is>
          <t xml:space="preserve">  ОТДЕЛКА</t>
        </is>
      </c>
      <c r="C29" s="30" t="n"/>
      <c r="D29" s="30" t="n"/>
      <c r="E29" s="30" t="n"/>
      <c r="F29" s="30" t="n"/>
      <c r="G29" s="4" t="n"/>
    </row>
    <row r="30" ht="22" customHeight="1">
      <c r="A30" s="4" t="n"/>
      <c r="B30" s="102" t="inlineStr">
        <is>
          <t>О-01</t>
        </is>
      </c>
      <c r="C30" s="91" t="inlineStr">
        <is>
          <t>Грунт, бетоноконтакт, штукатурка / ровнитель стен</t>
        </is>
      </c>
      <c r="D30" s="93" t="inlineStr">
        <is>
          <t>по объёму стен 24 м²</t>
        </is>
      </c>
      <c r="E30" s="91" t="inlineStr">
        <is>
          <t>п. 5.4–5.5</t>
        </is>
      </c>
      <c r="F30" s="93" t="inlineStr">
        <is>
          <t>☐</t>
        </is>
      </c>
      <c r="G30" s="4" t="n"/>
    </row>
    <row r="31" ht="22" customHeight="1">
      <c r="A31" s="4" t="n"/>
      <c r="B31" s="103" t="inlineStr">
        <is>
          <t>О-02</t>
        </is>
      </c>
      <c r="C31" s="94" t="inlineStr">
        <is>
          <t>Смесь для стяжки пола</t>
        </is>
      </c>
      <c r="D31" s="96" t="inlineStr">
        <is>
          <t>≈ 3,5 м²</t>
        </is>
      </c>
      <c r="E31" s="94" t="inlineStr">
        <is>
          <t>п. 5.2</t>
        </is>
      </c>
      <c r="F31" s="96" t="inlineStr">
        <is>
          <t>☐</t>
        </is>
      </c>
      <c r="G31" s="4" t="n"/>
    </row>
    <row r="32" ht="22" customHeight="1">
      <c r="A32" s="4" t="n"/>
      <c r="B32" s="102" t="inlineStr">
        <is>
          <t>О-03</t>
        </is>
      </c>
      <c r="C32" s="91" t="inlineStr">
        <is>
          <t>Обмазочная гидроизоляция + угловая лента + грунт к ней</t>
        </is>
      </c>
      <c r="D32" s="93" t="inlineStr">
        <is>
          <t>пол 3,5 м² + стены ~10 м²</t>
        </is>
      </c>
      <c r="E32" s="91" t="inlineStr">
        <is>
          <t>п. 5.3, 5.6–5.7</t>
        </is>
      </c>
      <c r="F32" s="93" t="inlineStr">
        <is>
          <t>☐</t>
        </is>
      </c>
      <c r="G32" s="4" t="n"/>
    </row>
    <row r="33" ht="22" customHeight="1">
      <c r="A33" s="4" t="n"/>
      <c r="B33" s="103" t="inlineStr">
        <is>
          <t>О-04</t>
        </is>
      </c>
      <c r="C33" s="94" t="inlineStr">
        <is>
          <t>Керамогранит на пол + запас 10–15%</t>
        </is>
      </c>
      <c r="D33" s="96" t="inlineStr">
        <is>
          <t>≈ 4,1 м² с запасом</t>
        </is>
      </c>
      <c r="E33" s="94" t="inlineStr">
        <is>
          <t>п. 6.4–6.5, 6.8</t>
        </is>
      </c>
      <c r="F33" s="96" t="inlineStr">
        <is>
          <t>☐</t>
        </is>
      </c>
      <c r="G33" s="4" t="n"/>
    </row>
    <row r="34" ht="22" customHeight="1">
      <c r="A34" s="4" t="n"/>
      <c r="B34" s="102" t="inlineStr">
        <is>
          <t>О-05</t>
        </is>
      </c>
      <c r="C34" s="91" t="inlineStr">
        <is>
          <t>Плитка на стены + запас 10–15%</t>
        </is>
      </c>
      <c r="D34" s="93" t="inlineStr">
        <is>
          <t>≈ 30 м² с запасом</t>
        </is>
      </c>
      <c r="E34" s="91" t="inlineStr">
        <is>
          <t>п. 6.6–6.7</t>
        </is>
      </c>
      <c r="F34" s="93" t="inlineStr">
        <is>
          <t>☐</t>
        </is>
      </c>
      <c r="G34" s="4" t="n"/>
    </row>
    <row r="35" ht="22" customHeight="1">
      <c r="A35" s="4" t="n"/>
      <c r="B35" s="103" t="inlineStr">
        <is>
          <t>О-06</t>
        </is>
      </c>
      <c r="C35" s="94" t="inlineStr">
        <is>
          <t>Клей для плитки, влагостойкая затирка, уголки / раскладки</t>
        </is>
      </c>
      <c r="D35" s="96" t="inlineStr">
        <is>
          <t>комплект</t>
        </is>
      </c>
      <c r="E35" s="94" t="inlineStr">
        <is>
          <t>п. 6.9–6.10</t>
        </is>
      </c>
      <c r="F35" s="96" t="inlineStr">
        <is>
          <t>☐</t>
        </is>
      </c>
      <c r="G35" s="4" t="n"/>
    </row>
    <row r="36" ht="22" customHeight="1">
      <c r="A36" s="4" t="n"/>
      <c r="B36" s="102" t="inlineStr">
        <is>
          <t>О-07</t>
        </is>
      </c>
      <c r="C36" s="91" t="inlineStr">
        <is>
          <t>Санитарный силикон в цвет затирки</t>
        </is>
      </c>
      <c r="D36" s="93" t="inlineStr">
        <is>
          <t>2–3 тубы</t>
        </is>
      </c>
      <c r="E36" s="91" t="inlineStr">
        <is>
          <t>п. 6.12</t>
        </is>
      </c>
      <c r="F36" s="93" t="inlineStr">
        <is>
          <t>☐</t>
        </is>
      </c>
      <c r="G36" s="4" t="n"/>
    </row>
    <row r="37" ht="22" customHeight="1">
      <c r="A37" s="4" t="n"/>
      <c r="B37" s="103" t="inlineStr">
        <is>
          <t>О-08</t>
        </is>
      </c>
      <c r="C37" s="94" t="inlineStr">
        <is>
          <t>Влагостойкий ГВЛ, брусок / профиль на короб инсталляции</t>
        </is>
      </c>
      <c r="D37" s="96" t="inlineStr">
        <is>
          <t>≈ 2,5 м²</t>
        </is>
      </c>
      <c r="E37" s="94" t="inlineStr">
        <is>
          <t>п. 4.6</t>
        </is>
      </c>
      <c r="F37" s="96" t="inlineStr">
        <is>
          <t>☐</t>
        </is>
      </c>
      <c r="G37" s="4" t="n"/>
    </row>
    <row r="38" ht="22" customHeight="1">
      <c r="A38" s="4" t="n"/>
      <c r="B38" s="102" t="inlineStr">
        <is>
          <t>О-09</t>
        </is>
      </c>
      <c r="C38" s="91" t="inlineStr">
        <is>
          <t>Блоки / клей на подиум и экран ванны</t>
        </is>
      </c>
      <c r="D38" s="93" t="inlineStr">
        <is>
          <t>по месту</t>
        </is>
      </c>
      <c r="E38" s="91" t="inlineStr">
        <is>
          <t>п. 6.11, 7.1</t>
        </is>
      </c>
      <c r="F38" s="93" t="inlineStr">
        <is>
          <t>☐</t>
        </is>
      </c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 ht="20" customHeight="1">
      <c r="A40" s="4" t="n"/>
      <c r="B40" s="101" t="inlineStr">
        <is>
          <t xml:space="preserve">  ПРОЧЕЕ</t>
        </is>
      </c>
      <c r="C40" s="30" t="n"/>
      <c r="D40" s="30" t="n"/>
      <c r="E40" s="30" t="n"/>
      <c r="F40" s="30" t="n"/>
      <c r="G40" s="4" t="n"/>
    </row>
    <row r="41" ht="22" customHeight="1">
      <c r="A41" s="4" t="n"/>
      <c r="B41" s="102" t="inlineStr">
        <is>
          <t>П-01</t>
        </is>
      </c>
      <c r="C41" s="91" t="inlineStr">
        <is>
          <t>Временный унитаз (если нет запасного) + гофра</t>
        </is>
      </c>
      <c r="D41" s="93" t="inlineStr">
        <is>
          <t>1 шт. на 18 дней</t>
        </is>
      </c>
      <c r="E41" s="91" t="inlineStr">
        <is>
          <t>п. 1.3</t>
        </is>
      </c>
      <c r="F41" s="93" t="inlineStr">
        <is>
          <t>☐</t>
        </is>
      </c>
      <c r="G41" s="4" t="n"/>
    </row>
    <row r="42" ht="22" customHeight="1">
      <c r="A42" s="4" t="n"/>
      <c r="B42" s="103" t="inlineStr">
        <is>
          <t>П-02</t>
        </is>
      </c>
      <c r="C42" s="94" t="inlineStr">
        <is>
          <t>Вентилятор в существующий канал (если берёте п. 8.2)</t>
        </is>
      </c>
      <c r="D42" s="96" t="inlineStr">
        <is>
          <t>1 шт.</t>
        </is>
      </c>
      <c r="E42" s="94" t="inlineStr">
        <is>
          <t>п. 8.2</t>
        </is>
      </c>
      <c r="F42" s="96" t="inlineStr">
        <is>
          <t>☐</t>
        </is>
      </c>
      <c r="G42" s="4" t="n"/>
    </row>
    <row r="43" ht="22" customHeight="1">
      <c r="A43" s="4" t="n"/>
      <c r="B43" s="102" t="inlineStr">
        <is>
          <t>П-03</t>
        </is>
      </c>
      <c r="C43" s="91" t="inlineStr">
        <is>
          <t>Кабель, розетки IP44, УЗО / дифавтомат (если берёте п. 8.3–8.4)</t>
        </is>
      </c>
      <c r="D43" s="93" t="inlineStr">
        <is>
          <t>комплект</t>
        </is>
      </c>
      <c r="E43" s="91" t="inlineStr">
        <is>
          <t>п. 8.3–8.4</t>
        </is>
      </c>
      <c r="F43" s="93" t="inlineStr">
        <is>
          <t>☐</t>
        </is>
      </c>
      <c r="G43" s="4" t="n"/>
    </row>
    <row r="44" ht="22" customHeight="1">
      <c r="A44" s="4" t="n"/>
      <c r="B44" s="103" t="inlineStr">
        <is>
          <t>П-04</t>
        </is>
      </c>
      <c r="C44" s="94" t="inlineStr">
        <is>
          <t>Зеркало и аксессуары</t>
        </is>
      </c>
      <c r="D44" s="96" t="inlineStr">
        <is>
          <t>по выбору</t>
        </is>
      </c>
      <c r="E44" s="94" t="inlineStr">
        <is>
          <t>п. 8.5–8.6</t>
        </is>
      </c>
      <c r="F44" s="96" t="inlineStr">
        <is>
          <t>☐</t>
        </is>
      </c>
      <c r="G44" s="4" t="n"/>
    </row>
    <row r="45" ht="22" customHeight="1">
      <c r="A45" s="4" t="n"/>
      <c r="B45" s="102" t="inlineStr">
        <is>
          <t>П-05</t>
        </is>
      </c>
      <c r="C45" s="91" t="inlineStr">
        <is>
          <t>Мешки для мусора 120 л, плёнка, картон, скотч</t>
        </is>
      </c>
      <c r="D45" s="93" t="inlineStr">
        <is>
          <t>на период ремонта</t>
        </is>
      </c>
      <c r="E45" s="91" t="inlineStr">
        <is>
          <t>п. 1.1, 2.10</t>
        </is>
      </c>
      <c r="F45" s="93" t="inlineStr">
        <is>
          <t>☐</t>
        </is>
      </c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 ht="40" customHeight="1">
      <c r="A47" s="4" t="n"/>
      <c r="B47" s="104" t="inlineStr">
        <is>
          <t>Перед закупкой плитки и ванны — замер. Для ванны из наливного камня проверьте, проходит ли упаковка в проём 57 см или нужен занос через окно.</t>
        </is>
      </c>
      <c r="C47" s="27" t="n"/>
      <c r="D47" s="27" t="n"/>
      <c r="E47" s="27" t="n"/>
      <c r="F47" s="27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4" t="n"/>
      <c r="B66" s="4" t="n"/>
      <c r="C66" s="4" t="n"/>
      <c r="D66" s="4" t="n"/>
      <c r="E66" s="4" t="n"/>
      <c r="F66" s="4" t="n"/>
      <c r="G66" s="4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>
      <c r="A68" s="4" t="n"/>
      <c r="B68" s="4" t="n"/>
      <c r="C68" s="4" t="n"/>
      <c r="D68" s="4" t="n"/>
      <c r="E68" s="4" t="n"/>
      <c r="F68" s="4" t="n"/>
      <c r="G68" s="4" t="n"/>
    </row>
    <row r="69">
      <c r="A69" s="4" t="n"/>
      <c r="B69" s="4" t="n"/>
      <c r="C69" s="4" t="n"/>
      <c r="D69" s="4" t="n"/>
      <c r="E69" s="4" t="n"/>
      <c r="F69" s="4" t="n"/>
      <c r="G69" s="4" t="n"/>
    </row>
  </sheetData>
  <mergeCells count="7">
    <mergeCell ref="B29:F29"/>
    <mergeCell ref="B6:F6"/>
    <mergeCell ref="B47:F47"/>
    <mergeCell ref="B3:F3"/>
    <mergeCell ref="B1:F1"/>
    <mergeCell ref="B40:F40"/>
    <mergeCell ref="B17:F17"/>
  </mergeCells>
  <dataValidations count="1">
    <dataValidation sqref="F7:F45" showDropDown="0" showInputMessage="0" showErrorMessage="0" allowBlank="1" errorTitle="Отметка" error="Выберите ☐ или ☑" promptTitle="Закуплено" prompt="Отметьте, когда куплено" type="list">
      <formula1>"☐,☑"</formula1>
    </dataValidation>
  </dataValidations>
  <printOptions horizontalCentered="1"/>
  <pageMargins left="0.5" right="0.5" top="0.7" bottom="0.7" header="0.3" footer="0.3"/>
  <pageSetup orientation="portrait" paperSize="9" fitToHeight="1" fitToWidth="1"/>
  <headerFooter>
    <oddHeader>&amp;L&amp;K1B365DСмета на работы · ЛГ-137&amp;R&amp;K5C6670только работы</oddHeader>
    <oddFooter>&amp;L&amp;K5C6670Закупка заказчика&amp;C&amp;K5C6670стр. &amp;P из &amp;N&amp;R&amp;K5C6670не является публичной офертой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Локальная смета</dc:creator>
  <dc:title>Смета на работы — ванная и туалет ЛГ-137</dc:title>
  <dc:description>Основной объём 444 757 ₽; с резервом и рекомендациями 503 195 ₽</dc:description>
  <dc:subject>Только работы, без материалов</dc:subject>
  <dcterms:created xsi:type="dcterms:W3CDTF">2026-09-04T18:03:15Z</dcterms:created>
  <dcterms:modified xsi:type="dcterms:W3CDTF">2026-09-04T18:03:15Z</dcterms:modified>
  <cp:category>Смета</cp:category>
  <cp:keywords>смета, ЛГ-137, ванная, туалет, работы</cp:keywords>
</cp:coreProperties>
</file>