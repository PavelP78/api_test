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 материалов" sheetId="1" state="visible" r:id="rId1"/>
    <sheet name="Сводка по блок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9"/>
    </font>
    <font>
      <name val="Arial"/>
      <b val="1"/>
      <sz val="13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5CBA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horizontal="right" vertical="center"/>
    </xf>
    <xf numFmtId="3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164" fontId="2" fillId="7" borderId="1" applyAlignment="1" pivotButton="0" quotePrefix="0" xfId="0">
      <alignment horizontal="right" vertical="center"/>
    </xf>
    <xf numFmtId="3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164" fontId="2" fillId="8" borderId="1" applyAlignment="1" pivotButton="0" quotePrefix="0" xfId="0">
      <alignment horizontal="right" vertical="center"/>
    </xf>
    <xf numFmtId="3" fontId="2" fillId="8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4" fillId="2" borderId="1" pivotButton="0" quotePrefix="0" xfId="0"/>
    <xf numFmtId="3" fontId="4" fillId="2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pivotButton="0" quotePrefix="0" xfId="0"/>
    <xf numFmtId="0" fontId="8" fillId="2" borderId="1" pivotButton="0" quotePrefix="0" xfId="0"/>
    <xf numFmtId="3" fontId="8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 ht="24" customHeight="1">
      <c r="A1" s="1" t="inlineStr">
        <is>
          <t>Смета материалов на забор (евроштакетник) — без штакетника и без работ</t>
        </is>
      </c>
    </row>
    <row r="2" ht="52" customHeight="1">
      <c r="A2" s="2" t="inlineStr">
        <is>
          <t>Участок 20×30 м (6 соток), периметр 100 м. Столбы уже есть на стороне 20 м. Новые столбы — на 80 м. Высота забора 2 м. Лаги в 2 ряда. Ворота распашные ~3,5–4 м + калитка ~1 м — варить сами. Цены ориентировочные по РФ.</t>
        </is>
      </c>
    </row>
    <row r="4">
      <c r="A4" s="3" t="inlineStr">
        <is>
          <t>№</t>
        </is>
      </c>
      <c r="B4" s="3" t="inlineStr">
        <is>
          <t>Материал</t>
        </is>
      </c>
      <c r="C4" s="3" t="inlineStr">
        <is>
          <t>Размер / характеристика</t>
        </is>
      </c>
      <c r="D4" s="3" t="inlineStr">
        <is>
          <t>Кол-во</t>
        </is>
      </c>
      <c r="E4" s="3" t="inlineStr">
        <is>
          <t>Ед.</t>
        </is>
      </c>
      <c r="F4" s="3" t="inlineStr">
        <is>
          <t>Цена, ₽</t>
        </is>
      </c>
      <c r="G4" s="3" t="inlineStr">
        <is>
          <t>Сумма, ₽</t>
        </is>
      </c>
    </row>
    <row r="5">
      <c r="A5" s="4" t="n">
        <v>1</v>
      </c>
      <c r="B5" s="5" t="inlineStr">
        <is>
          <t>Столб промежуточный</t>
        </is>
      </c>
      <c r="C5" s="5" t="inlineStr">
        <is>
          <t>60×60×2 мм, 3 м (на 80 м, шаг 2,5 м)</t>
        </is>
      </c>
      <c r="D5" s="6" t="n">
        <v>29</v>
      </c>
      <c r="E5" s="4" t="inlineStr">
        <is>
          <t>шт</t>
        </is>
      </c>
      <c r="F5" s="7" t="n">
        <v>1000</v>
      </c>
      <c r="G5" s="7" t="n">
        <v>29000</v>
      </c>
    </row>
    <row r="6">
      <c r="A6" s="4" t="n">
        <v>2</v>
      </c>
      <c r="B6" s="5" t="inlineStr">
        <is>
          <t>Столб угловой</t>
        </is>
      </c>
      <c r="C6" s="5" t="inlineStr">
        <is>
          <t>80×80×3 мм, 3 м (2 новых угла)</t>
        </is>
      </c>
      <c r="D6" s="6" t="n">
        <v>2</v>
      </c>
      <c r="E6" s="4" t="inlineStr">
        <is>
          <t>шт</t>
        </is>
      </c>
      <c r="F6" s="7" t="n">
        <v>2000</v>
      </c>
      <c r="G6" s="7" t="n">
        <v>4000</v>
      </c>
    </row>
    <row r="7">
      <c r="A7" s="4" t="n">
        <v>3</v>
      </c>
      <c r="B7" s="5" t="inlineStr">
        <is>
          <t>Столб ворот/калитки</t>
        </is>
      </c>
      <c r="C7" s="5" t="inlineStr">
        <is>
          <t>80×80×3 мм, 3 м</t>
        </is>
      </c>
      <c r="D7" s="6" t="n">
        <v>3</v>
      </c>
      <c r="E7" s="4" t="inlineStr">
        <is>
          <t>шт</t>
        </is>
      </c>
      <c r="F7" s="7" t="n">
        <v>2000</v>
      </c>
      <c r="G7" s="7" t="n">
        <v>6000</v>
      </c>
    </row>
    <row r="8">
      <c r="A8" s="4" t="n">
        <v>4</v>
      </c>
      <c r="B8" s="5" t="inlineStr">
        <is>
          <t>Заглушка столба</t>
        </is>
      </c>
      <c r="C8" s="5" t="inlineStr">
        <is>
          <t>60×60</t>
        </is>
      </c>
      <c r="D8" s="6" t="n">
        <v>29</v>
      </c>
      <c r="E8" s="4" t="inlineStr">
        <is>
          <t>шт</t>
        </is>
      </c>
      <c r="F8" s="7" t="n">
        <v>70</v>
      </c>
      <c r="G8" s="7" t="n">
        <v>2030</v>
      </c>
    </row>
    <row r="9">
      <c r="A9" s="4" t="n">
        <v>5</v>
      </c>
      <c r="B9" s="5" t="inlineStr">
        <is>
          <t>Заглушка столба</t>
        </is>
      </c>
      <c r="C9" s="5" t="inlineStr">
        <is>
          <t>80×80</t>
        </is>
      </c>
      <c r="D9" s="6" t="n">
        <v>5</v>
      </c>
      <c r="E9" s="4" t="inlineStr">
        <is>
          <t>шт</t>
        </is>
      </c>
      <c r="F9" s="7" t="n">
        <v>90</v>
      </c>
      <c r="G9" s="7" t="n">
        <v>450</v>
      </c>
    </row>
    <row r="10">
      <c r="A10" s="8" t="n">
        <v>6</v>
      </c>
      <c r="B10" s="9" t="inlineStr">
        <is>
          <t>Прожилина (лага)</t>
        </is>
      </c>
      <c r="C10" s="9" t="inlineStr">
        <is>
          <t>40×20×2 мм, 2 ряда по периметру</t>
        </is>
      </c>
      <c r="D10" s="10" t="n">
        <v>200</v>
      </c>
      <c r="E10" s="8" t="inlineStr">
        <is>
          <t>м</t>
        </is>
      </c>
      <c r="F10" s="11" t="n">
        <v>110</v>
      </c>
      <c r="G10" s="11" t="n">
        <v>22000</v>
      </c>
    </row>
    <row r="11">
      <c r="A11" s="12" t="n">
        <v>7</v>
      </c>
      <c r="B11" s="13" t="inlineStr">
        <is>
          <t>Щебень</t>
        </is>
      </c>
      <c r="C11" s="13" t="inlineStr">
        <is>
          <t>фр. 20–40 (под 31 новый столб)</t>
        </is>
      </c>
      <c r="D11" s="14" t="n">
        <v>2.3</v>
      </c>
      <c r="E11" s="12" t="inlineStr">
        <is>
          <t>т</t>
        </is>
      </c>
      <c r="F11" s="15" t="n">
        <v>2000</v>
      </c>
      <c r="G11" s="15" t="n">
        <v>4600</v>
      </c>
    </row>
    <row r="12">
      <c r="A12" s="12" t="n">
        <v>8</v>
      </c>
      <c r="B12" s="13" t="inlineStr">
        <is>
          <t>Песок</t>
        </is>
      </c>
      <c r="C12" s="13" t="inlineStr">
        <is>
          <t>строительный</t>
        </is>
      </c>
      <c r="D12" s="14" t="n">
        <v>0.6</v>
      </c>
      <c r="E12" s="12" t="inlineStr">
        <is>
          <t>т</t>
        </is>
      </c>
      <c r="F12" s="15" t="n">
        <v>2000</v>
      </c>
      <c r="G12" s="15" t="n">
        <v>1200</v>
      </c>
    </row>
    <row r="13">
      <c r="A13" s="12" t="n">
        <v>9</v>
      </c>
      <c r="B13" s="13" t="inlineStr">
        <is>
          <t>Цемент</t>
        </is>
      </c>
      <c r="C13" s="13" t="inlineStr">
        <is>
          <t>М400, мешок 50 кг</t>
        </is>
      </c>
      <c r="D13" s="14" t="n">
        <v>12</v>
      </c>
      <c r="E13" s="12" t="inlineStr">
        <is>
          <t>меш.</t>
        </is>
      </c>
      <c r="F13" s="15" t="n">
        <v>500</v>
      </c>
      <c r="G13" s="15" t="n">
        <v>6000</v>
      </c>
    </row>
    <row r="14">
      <c r="A14" s="16" t="n">
        <v>10</v>
      </c>
      <c r="B14" s="17" t="inlineStr">
        <is>
          <t>Винтовая свая</t>
        </is>
      </c>
      <c r="C14" s="17" t="inlineStr">
        <is>
          <t>89 мм, длина 2,5 м</t>
        </is>
      </c>
      <c r="D14" s="18" t="n">
        <v>3</v>
      </c>
      <c r="E14" s="16" t="inlineStr">
        <is>
          <t>шт</t>
        </is>
      </c>
      <c r="F14" s="19" t="n">
        <v>2800</v>
      </c>
      <c r="G14" s="19" t="n">
        <v>8400</v>
      </c>
    </row>
    <row r="15">
      <c r="A15" s="16" t="n">
        <v>11</v>
      </c>
      <c r="B15" s="17" t="inlineStr">
        <is>
          <t>Оголовок сваи</t>
        </is>
      </c>
      <c r="C15" s="17" t="inlineStr">
        <is>
          <t>под столб 80×80</t>
        </is>
      </c>
      <c r="D15" s="18" t="n">
        <v>3</v>
      </c>
      <c r="E15" s="16" t="inlineStr">
        <is>
          <t>шт</t>
        </is>
      </c>
      <c r="F15" s="19" t="n">
        <v>450</v>
      </c>
      <c r="G15" s="19" t="n">
        <v>1350</v>
      </c>
    </row>
    <row r="16">
      <c r="A16" s="16" t="n">
        <v>12</v>
      </c>
      <c r="B16" s="17" t="inlineStr">
        <is>
          <t>Бетон в сваи / оголовки</t>
        </is>
      </c>
      <c r="C16" s="17" t="inlineStr">
        <is>
          <t>цемент + песок + щебень</t>
        </is>
      </c>
      <c r="D16" s="18" t="n">
        <v>1</v>
      </c>
      <c r="E16" s="16" t="inlineStr">
        <is>
          <t>компл.</t>
        </is>
      </c>
      <c r="F16" s="19" t="n">
        <v>2000</v>
      </c>
      <c r="G16" s="19" t="n">
        <v>2000</v>
      </c>
    </row>
    <row r="17">
      <c r="A17" s="20" t="n">
        <v>13</v>
      </c>
      <c r="B17" s="21" t="inlineStr">
        <is>
          <t>Труба рамы калитки</t>
        </is>
      </c>
      <c r="C17" s="21" t="inlineStr">
        <is>
          <t>40×40×2 мм</t>
        </is>
      </c>
      <c r="D17" s="22" t="n">
        <v>8</v>
      </c>
      <c r="E17" s="20" t="inlineStr">
        <is>
          <t>м</t>
        </is>
      </c>
      <c r="F17" s="23" t="n">
        <v>175</v>
      </c>
      <c r="G17" s="23" t="n">
        <v>1400</v>
      </c>
    </row>
    <row r="18">
      <c r="A18" s="20" t="n">
        <v>14</v>
      </c>
      <c r="B18" s="21" t="inlineStr">
        <is>
          <t>Труба рам ворот</t>
        </is>
      </c>
      <c r="C18" s="21" t="inlineStr">
        <is>
          <t>50×50×2 мм</t>
        </is>
      </c>
      <c r="D18" s="22" t="n">
        <v>24</v>
      </c>
      <c r="E18" s="20" t="inlineStr">
        <is>
          <t>м</t>
        </is>
      </c>
      <c r="F18" s="23" t="n">
        <v>220</v>
      </c>
      <c r="G18" s="23" t="n">
        <v>5300</v>
      </c>
    </row>
    <row r="19">
      <c r="A19" s="20" t="n">
        <v>15</v>
      </c>
      <c r="B19" s="21" t="inlineStr">
        <is>
          <t>Рёбра ворот</t>
        </is>
      </c>
      <c r="C19" s="21" t="inlineStr">
        <is>
          <t>40×20×2 мм</t>
        </is>
      </c>
      <c r="D19" s="22" t="n">
        <v>16</v>
      </c>
      <c r="E19" s="20" t="inlineStr">
        <is>
          <t>м</t>
        </is>
      </c>
      <c r="F19" s="23" t="n">
        <v>110</v>
      </c>
      <c r="G19" s="23" t="n">
        <v>1800</v>
      </c>
    </row>
    <row r="20">
      <c r="A20" s="20" t="n">
        <v>16</v>
      </c>
      <c r="B20" s="21" t="inlineStr">
        <is>
          <t>Укосины</t>
        </is>
      </c>
      <c r="C20" s="21" t="inlineStr">
        <is>
          <t>20×20×2 мм</t>
        </is>
      </c>
      <c r="D20" s="22" t="n">
        <v>10</v>
      </c>
      <c r="E20" s="20" t="inlineStr">
        <is>
          <t>м</t>
        </is>
      </c>
      <c r="F20" s="23" t="n">
        <v>100</v>
      </c>
      <c r="G20" s="23" t="n">
        <v>1000</v>
      </c>
    </row>
    <row r="21">
      <c r="A21" s="20" t="n">
        <v>17</v>
      </c>
      <c r="B21" s="21" t="inlineStr">
        <is>
          <t>Петли калитки</t>
        </is>
      </c>
      <c r="C21" s="21" t="inlineStr">
        <is>
          <t>гаражные / регулируемые</t>
        </is>
      </c>
      <c r="D21" s="22" t="n">
        <v>2</v>
      </c>
      <c r="E21" s="20" t="inlineStr">
        <is>
          <t>шт</t>
        </is>
      </c>
      <c r="F21" s="23" t="n">
        <v>600</v>
      </c>
      <c r="G21" s="23" t="n">
        <v>1200</v>
      </c>
    </row>
    <row r="22">
      <c r="A22" s="20" t="n">
        <v>18</v>
      </c>
      <c r="B22" s="21" t="inlineStr">
        <is>
          <t>Петли ворот</t>
        </is>
      </c>
      <c r="C22" s="21" t="inlineStr">
        <is>
          <t>усиленные</t>
        </is>
      </c>
      <c r="D22" s="22" t="n">
        <v>4</v>
      </c>
      <c r="E22" s="20" t="inlineStr">
        <is>
          <t>шт</t>
        </is>
      </c>
      <c r="F22" s="23" t="n">
        <v>800</v>
      </c>
      <c r="G22" s="23" t="n">
        <v>3200</v>
      </c>
    </row>
    <row r="23">
      <c r="A23" s="20" t="n">
        <v>19</v>
      </c>
      <c r="B23" s="21" t="inlineStr">
        <is>
          <t>Задвижка + проушина замка</t>
        </is>
      </c>
      <c r="C23" s="21" t="inlineStr">
        <is>
          <t>на калитку</t>
        </is>
      </c>
      <c r="D23" s="22" t="n">
        <v>1</v>
      </c>
      <c r="E23" s="20" t="inlineStr">
        <is>
          <t>компл.</t>
        </is>
      </c>
      <c r="F23" s="23" t="n">
        <v>800</v>
      </c>
      <c r="G23" s="23" t="n">
        <v>800</v>
      </c>
    </row>
    <row r="24">
      <c r="A24" s="20" t="n">
        <v>20</v>
      </c>
      <c r="B24" s="21" t="inlineStr">
        <is>
          <t>Ручка калитки</t>
        </is>
      </c>
      <c r="C24" s="21" t="inlineStr">
        <is>
          <t>—</t>
        </is>
      </c>
      <c r="D24" s="22" t="n">
        <v>1</v>
      </c>
      <c r="E24" s="20" t="inlineStr">
        <is>
          <t>шт</t>
        </is>
      </c>
      <c r="F24" s="23" t="n">
        <v>400</v>
      </c>
      <c r="G24" s="23" t="n">
        <v>400</v>
      </c>
    </row>
    <row r="25">
      <c r="A25" s="20" t="n">
        <v>21</v>
      </c>
      <c r="B25" s="21" t="inlineStr">
        <is>
          <t>Шпингалет в землю</t>
        </is>
      </c>
      <c r="C25" s="21" t="inlineStr">
        <is>
          <t>на створки ворот</t>
        </is>
      </c>
      <c r="D25" s="22" t="n">
        <v>2</v>
      </c>
      <c r="E25" s="20" t="inlineStr">
        <is>
          <t>шт</t>
        </is>
      </c>
      <c r="F25" s="23" t="n">
        <v>600</v>
      </c>
      <c r="G25" s="23" t="n">
        <v>1200</v>
      </c>
    </row>
    <row r="26">
      <c r="A26" s="20" t="n">
        <v>22</v>
      </c>
      <c r="B26" s="21" t="inlineStr">
        <is>
          <t>Центральный засов / проушина</t>
        </is>
      </c>
      <c r="C26" s="21" t="inlineStr">
        <is>
          <t>на ворота</t>
        </is>
      </c>
      <c r="D26" s="22" t="n">
        <v>1</v>
      </c>
      <c r="E26" s="20" t="inlineStr">
        <is>
          <t>компл.</t>
        </is>
      </c>
      <c r="F26" s="23" t="n">
        <v>1000</v>
      </c>
      <c r="G26" s="23" t="n">
        <v>1000</v>
      </c>
    </row>
    <row r="27">
      <c r="A27" s="20" t="n">
        <v>23</v>
      </c>
      <c r="B27" s="21" t="inlineStr">
        <is>
          <t>Закладные под шпингалеты</t>
        </is>
      </c>
      <c r="C27" s="21" t="inlineStr">
        <is>
          <t>в бетон/грунт</t>
        </is>
      </c>
      <c r="D27" s="22" t="n">
        <v>2</v>
      </c>
      <c r="E27" s="20" t="inlineStr">
        <is>
          <t>шт</t>
        </is>
      </c>
      <c r="F27" s="23" t="n">
        <v>300</v>
      </c>
      <c r="G27" s="23" t="n">
        <v>600</v>
      </c>
    </row>
    <row r="28">
      <c r="A28" s="24" t="n">
        <v>24</v>
      </c>
      <c r="B28" s="25" t="inlineStr">
        <is>
          <t>Грунт по металлу</t>
        </is>
      </c>
      <c r="C28" s="25" t="inlineStr">
        <is>
          <t>5–7 л</t>
        </is>
      </c>
      <c r="D28" s="26" t="n">
        <v>1</v>
      </c>
      <c r="E28" s="24" t="inlineStr">
        <is>
          <t>компл.</t>
        </is>
      </c>
      <c r="F28" s="27" t="n">
        <v>2500</v>
      </c>
      <c r="G28" s="27" t="n">
        <v>2500</v>
      </c>
    </row>
    <row r="29">
      <c r="A29" s="24" t="n">
        <v>25</v>
      </c>
      <c r="B29" s="25" t="inlineStr">
        <is>
          <t>Краска по металлу</t>
        </is>
      </c>
      <c r="C29" s="25" t="inlineStr">
        <is>
          <t>8–10 л</t>
        </is>
      </c>
      <c r="D29" s="26" t="n">
        <v>1</v>
      </c>
      <c r="E29" s="24" t="inlineStr">
        <is>
          <t>компл.</t>
        </is>
      </c>
      <c r="F29" s="27" t="n">
        <v>4500</v>
      </c>
      <c r="G29" s="27" t="n">
        <v>4500</v>
      </c>
    </row>
    <row r="30">
      <c r="A30" s="24" t="n">
        <v>26</v>
      </c>
      <c r="B30" s="25" t="inlineStr">
        <is>
          <t>Электроды, круги, мелочь</t>
        </is>
      </c>
      <c r="C30" s="25" t="inlineStr">
        <is>
          <t>набор</t>
        </is>
      </c>
      <c r="D30" s="26" t="n">
        <v>1</v>
      </c>
      <c r="E30" s="24" t="inlineStr">
        <is>
          <t>компл.</t>
        </is>
      </c>
      <c r="F30" s="27" t="n">
        <v>4000</v>
      </c>
      <c r="G30" s="27" t="n">
        <v>4000</v>
      </c>
    </row>
    <row r="31">
      <c r="A31" s="28" t="inlineStr">
        <is>
          <t>ИТОГО</t>
        </is>
      </c>
      <c r="B31" s="29" t="n"/>
      <c r="C31" s="29" t="n"/>
      <c r="D31" s="29" t="n"/>
      <c r="E31" s="29" t="n"/>
      <c r="F31" s="29" t="n"/>
      <c r="G31" s="30">
        <f>SUM(G5:G30)</f>
        <v/>
      </c>
    </row>
    <row r="33">
      <c r="A33" s="31" t="inlineStr">
        <is>
          <t>Примечания / расчёт столбов</t>
        </is>
      </c>
    </row>
    <row r="34">
      <c r="A34" s="32" t="inlineStr">
        <is>
          <t>1. Столбы уже стоят на стороне 20 м → новые столбы только на 80 м (30+20+30).</t>
        </is>
      </c>
    </row>
    <row r="35">
      <c r="A35" s="32" t="inlineStr">
        <is>
          <t>2. Расчёт столбов: 80 м / 2,5 м + 1 = 33 позиции; минус 2 существующих угловых на готовой стороне = 31 новый столб.</t>
        </is>
      </c>
    </row>
    <row r="36">
      <c r="A36" s="32" t="inlineStr">
        <is>
          <t>3. Из 31: 29 промежуточных 60×60 + 2 новых угловых 80×80. Плюс отдельно 3 столба 80×80 под ворота/калитку на сваях.</t>
        </is>
      </c>
    </row>
    <row r="37">
      <c r="A37" s="32" t="inlineStr">
        <is>
          <t>4. Лаги: ~95 м рабочей длины × 2 ряда + запас ≈ 200 м трубы 40×20×2 мм.</t>
        </is>
      </c>
    </row>
    <row r="38">
      <c r="A38" s="32" t="inlineStr">
        <is>
          <t>5. Не входит: евроштакетник, саморезы под него, доставка, работы.</t>
        </is>
      </c>
    </row>
    <row r="39">
      <c r="A39" s="32" t="inlineStr">
        <is>
          <t>6. Ориентир по ценам РФ; итоговый диапазон обычно 105–130 тыс. ₽.</t>
        </is>
      </c>
    </row>
  </sheetData>
  <mergeCells count="10">
    <mergeCell ref="A36:G36"/>
    <mergeCell ref="A1:G1"/>
    <mergeCell ref="A39:G39"/>
    <mergeCell ref="A34:G34"/>
    <mergeCell ref="A35:G35"/>
    <mergeCell ref="A31:F31"/>
    <mergeCell ref="A38:G38"/>
    <mergeCell ref="A2:G2"/>
    <mergeCell ref="A33:G33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</cols>
  <sheetData>
    <row r="1">
      <c r="A1" s="33" t="inlineStr">
        <is>
          <t>Сводка сметы по блокам (столбы есть на стороне 20 м)</t>
        </is>
      </c>
    </row>
    <row r="3">
      <c r="A3" s="34" t="inlineStr">
        <is>
          <t>Блок</t>
        </is>
      </c>
      <c r="B3" s="34" t="inlineStr">
        <is>
          <t>Позиции</t>
        </is>
      </c>
      <c r="C3" s="34" t="inlineStr">
        <is>
          <t>Сумма, ₽</t>
        </is>
      </c>
    </row>
    <row r="4">
      <c r="A4" s="35" t="inlineStr">
        <is>
          <t>Столбы забора + заглушки</t>
        </is>
      </c>
      <c r="B4" s="36" t="inlineStr">
        <is>
          <t>1–5</t>
        </is>
      </c>
      <c r="C4" s="37" t="n">
        <v>41480</v>
      </c>
    </row>
    <row r="5">
      <c r="A5" s="35" t="inlineStr">
        <is>
          <t>Прожилины (2 ряда)</t>
        </is>
      </c>
      <c r="B5" s="36" t="inlineStr">
        <is>
          <t>6</t>
        </is>
      </c>
      <c r="C5" s="37" t="n">
        <v>22000</v>
      </c>
    </row>
    <row r="6">
      <c r="A6" s="35" t="inlineStr">
        <is>
          <t>Основание столбов</t>
        </is>
      </c>
      <c r="B6" s="36" t="inlineStr">
        <is>
          <t>7–9</t>
        </is>
      </c>
      <c r="C6" s="37" t="n">
        <v>11800</v>
      </c>
    </row>
    <row r="7">
      <c r="A7" s="35" t="inlineStr">
        <is>
          <t>Сваи под ворота/калитку</t>
        </is>
      </c>
      <c r="B7" s="36" t="inlineStr">
        <is>
          <t>10–12</t>
        </is>
      </c>
      <c r="C7" s="37" t="n">
        <v>11750</v>
      </c>
    </row>
    <row r="8">
      <c r="A8" s="35" t="inlineStr">
        <is>
          <t>Каркас и фурнитура ворот/калитки</t>
        </is>
      </c>
      <c r="B8" s="36" t="inlineStr">
        <is>
          <t>13–23</t>
        </is>
      </c>
      <c r="C8" s="37" t="n">
        <v>17900</v>
      </c>
    </row>
    <row r="9">
      <c r="A9" s="35" t="inlineStr">
        <is>
          <t>Покраска и сварка</t>
        </is>
      </c>
      <c r="B9" s="36" t="inlineStr">
        <is>
          <t>24–26</t>
        </is>
      </c>
      <c r="C9" s="37" t="n">
        <v>11000</v>
      </c>
    </row>
    <row r="10">
      <c r="A10" s="38" t="inlineStr">
        <is>
          <t>ИТОГО</t>
        </is>
      </c>
      <c r="B10" s="38" t="n"/>
      <c r="C10" s="39">
        <f>SUM(C4:C9)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2026-10-12T14:06:22Z</dcterms:created>
  <dcterms:modified xsi:type="dcterms:W3CDTF">2026-10-12T14:06:22Z</dcterms:modified>
</cp:coreProperties>
</file>